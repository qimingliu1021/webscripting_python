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farris\Desktop\"/>
    </mc:Choice>
  </mc:AlternateContent>
  <xr:revisionPtr revIDLastSave="0" documentId="8_{DADF3098-7C99-4670-B4D6-ADB6650E212F}" xr6:coauthVersionLast="47" xr6:coauthVersionMax="47" xr10:uidLastSave="{00000000-0000-0000-0000-000000000000}"/>
  <bookViews>
    <workbookView xWindow="28680" yWindow="-120" windowWidth="29040" windowHeight="15840" xr2:uid="{AA34021A-B83D-4752-8BE2-B6E1F9509993}"/>
  </bookViews>
  <sheets>
    <sheet name="NB Tier 1 Supplier List 2022" sheetId="1" r:id="rId1"/>
  </sheets>
  <externalReferences>
    <externalReference r:id="rId2"/>
    <externalReference r:id="rId3"/>
  </externalReferences>
  <definedNames>
    <definedName name="_xlnm._FilterDatabase" localSheetId="0" hidden="1">'NB Tier 1 Supplier List 2022'!$A$8:$K$159</definedName>
    <definedName name="ChinaWorkers" localSheetId="0">#REF!</definedName>
    <definedName name="ChinaWorkers">#REF!</definedName>
    <definedName name="Country" localSheetId="0">#REF!</definedName>
    <definedName name="Country">#REF!</definedName>
    <definedName name="Country1" localSheetId="0">#REF!</definedName>
    <definedName name="Country1">#REF!</definedName>
    <definedName name="dfa" localSheetId="0">#REF!</definedName>
    <definedName name="dfa">#REF!</definedName>
    <definedName name="EMEA" localSheetId="0">#REF!</definedName>
    <definedName name="EMEA">#REF!</definedName>
    <definedName name="Indo" localSheetId="0">#REF!</definedName>
    <definedName name="Indo">#REF!</definedName>
    <definedName name="no">[1]Sheet1!$A$1:$A$2</definedName>
    <definedName name="Ref_Country">'[2]Reference Lists'!$A$3:$A$258</definedName>
    <definedName name="Ref_Industry">'[2]Reference Lists'!$B$2:$B$25</definedName>
    <definedName name="YesNO">'[2]Reference Lists'!$D$1:$D$3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C1" i="1" l="1"/>
</calcChain>
</file>

<file path=xl/sharedStrings.xml><?xml version="1.0" encoding="utf-8"?>
<sst xmlns="http://schemas.openxmlformats.org/spreadsheetml/2006/main" count="1212" uniqueCount="411">
  <si>
    <t>Total Factories</t>
  </si>
  <si>
    <t>Footwear</t>
  </si>
  <si>
    <t>Equipment</t>
  </si>
  <si>
    <t>Apparel</t>
  </si>
  <si>
    <t>Accessories</t>
  </si>
  <si>
    <t>NEW BALANCE TIER 1 SUPPLIER LIST - 2022</t>
  </si>
  <si>
    <t>FFC #</t>
  </si>
  <si>
    <t>Status</t>
  </si>
  <si>
    <t>Country</t>
  </si>
  <si>
    <t>Supplier Name</t>
  </si>
  <si>
    <t>Supplier Group</t>
  </si>
  <si>
    <t>Product Type</t>
  </si>
  <si>
    <t>Address</t>
  </si>
  <si>
    <t> Number of Workers</t>
  </si>
  <si>
    <t>Percent Female Workers</t>
  </si>
  <si>
    <t>CBA</t>
  </si>
  <si>
    <t>YES</t>
  </si>
  <si>
    <t>NO</t>
  </si>
  <si>
    <t xml:space="preserve">Cambodian Everwin Accessories Co., Ltd </t>
  </si>
  <si>
    <t>Cambodia</t>
  </si>
  <si>
    <t>EverWin Group</t>
  </si>
  <si>
    <t>#D61-37, National Road#4, Bet Trang Commune, Prey Nob District, Sihanoukville</t>
  </si>
  <si>
    <t>Grand Twins International (Cambodia) PLC</t>
  </si>
  <si>
    <t>QMI INDUSTRIAL CO., LTD.</t>
  </si>
  <si>
    <t>Phum Trapang Por, Phnom Penh</t>
  </si>
  <si>
    <t>Quint Major Industrial Co., Ltd.</t>
  </si>
  <si>
    <t>National Road No. 4, Phum Trapaing Chheuneang, Khum Perk, District Ang Snoul, Phnom Penh, Kandal</t>
  </si>
  <si>
    <t>Tien Sung Garment (Cambodia) Co., Ltd.</t>
  </si>
  <si>
    <t>TSG International Limited</t>
  </si>
  <si>
    <t>Preypring Tbuong Village, Sangkat Choamchao, Khan Porsenchey, Phnom Penh</t>
  </si>
  <si>
    <t>Trax Apparel (Cambodia) Co., Ltd.</t>
  </si>
  <si>
    <t>LIBERTY INTER GROUP</t>
  </si>
  <si>
    <t>Phum Chong Thnal Khang Kert, Sangkat Teuk Thla, Khan Sen Sok, Phnom Penh</t>
  </si>
  <si>
    <t>Canada</t>
  </si>
  <si>
    <t>ARS Sport</t>
  </si>
  <si>
    <t>NA</t>
  </si>
  <si>
    <t>2215 Ave Bennet, Montreal</t>
  </si>
  <si>
    <t>East Port Manufacturing</t>
  </si>
  <si>
    <t>3400 Pharmacy Ave., Unit #13, Scarborough, Ontario</t>
  </si>
  <si>
    <t>Scapa North America</t>
  </si>
  <si>
    <t>609 Barnet Blvd., Renfrew</t>
  </si>
  <si>
    <t>SP Apparel Inc</t>
  </si>
  <si>
    <t>1237 Industrial Boulevard, Granby</t>
  </si>
  <si>
    <t>Top Notch Plastics</t>
  </si>
  <si>
    <t>508 Lakewood Drive, Amherstburg, Ontario</t>
  </si>
  <si>
    <t>ADD</t>
  </si>
  <si>
    <t>China</t>
  </si>
  <si>
    <t>No. 1555 Tongle Road, Chuzhou, Anhui</t>
  </si>
  <si>
    <t>Ash Cloud Co., Ltd, Shenzhen</t>
  </si>
  <si>
    <t>Building 47&amp;48, Bao-Tian Industrial Zone, Qian-Jin 2Rd, Xixiang, Bao'An, Shenzhen, Guangdong</t>
  </si>
  <si>
    <t>Chuan Yi Qi Tech. (Shenzhen) Co., Ltd.</t>
  </si>
  <si>
    <t>Chuan Qi Pro Limited</t>
  </si>
  <si>
    <t>No. 3, Guang Zu North Road, Keng Zi Town, Ping Shan New District, Shen zhen, Guangdon</t>
  </si>
  <si>
    <t xml:space="preserve">Dongguan Bacui Knitwear Co. Ltd </t>
  </si>
  <si>
    <t>Kent Knitters Ltd.</t>
  </si>
  <si>
    <t>Hexi Road, Jin Mei Village Chang Ping Town, Dongguan</t>
  </si>
  <si>
    <t>Dongguan City Eon Sporting Good Co., Ltd.</t>
  </si>
  <si>
    <t>Deyork LTD</t>
  </si>
  <si>
    <t>Building A, Qisha Industrial Park, Qisha Village, Shatian Town, Dongguan, Guangdong</t>
  </si>
  <si>
    <t>Ford Glory International Limited</t>
  </si>
  <si>
    <t>Dongguan City Shuoke Plastic &amp; Metal Production Co., LTD</t>
  </si>
  <si>
    <t>No.15, Four Road of Jingshan No.3 Industrial Zone, Chashan Town, Dongguan, Guangdong</t>
  </si>
  <si>
    <t>Dongguan Draco King Co., Ltd</t>
  </si>
  <si>
    <t>Building 6, No. 849, Xiegang Zhenxing Avenue, Xiegang Town, Dongguan, Guangdong</t>
  </si>
  <si>
    <t>DONGHAI COUNTY KOUWA PRODUCTS CO.,LTD</t>
  </si>
  <si>
    <t>Fujian Ala Sunroll Footwear Co., Ltd</t>
  </si>
  <si>
    <t>HUGE DEVELOPMENT LTD.</t>
  </si>
  <si>
    <t>Liyuan Industry Park, Putian City</t>
  </si>
  <si>
    <t>Full Tech Co., Ltd</t>
  </si>
  <si>
    <t>No.52,Qianjin Road 3, 3Rd Industrial Zone,Tanzhou Town, Zhongshan City,Guangdong, Zhongshan, Guangdong</t>
  </si>
  <si>
    <t>Furi Group Share Co., Ltd. Home Textiles Company 2</t>
  </si>
  <si>
    <t>No.1 Furi Street, Chaoyang Street, Gaomi Shi, Weifang, Shandong</t>
  </si>
  <si>
    <t>Gooddale Sportswear Limited</t>
  </si>
  <si>
    <t>Gooddale Limited</t>
  </si>
  <si>
    <t>2Nd Industry, Shiwan Town, Boluo, Huizhou, Shiwan Town, Guangdong</t>
  </si>
  <si>
    <t>Guangzhou Healong Sportwear Co., Ltd.广州喜龙服饰有限公司</t>
  </si>
  <si>
    <t>Guangzhou Healong Sportwear Co., Ltd</t>
  </si>
  <si>
    <t>Compiled No.68, Songyuan Middle East St., Pingsha Village, Junhe St., Baiyun District ,Guangzhou</t>
  </si>
  <si>
    <t>Guangzhou Longten industries co.,ltd.广州市珑腾手袋制品有限公</t>
  </si>
  <si>
    <t>Union Gate Group inc</t>
  </si>
  <si>
    <t>No.2 Tang Yuan Road Li Cheng Street, Zengcheng, Guangzhou, Guangdong</t>
  </si>
  <si>
    <t>Guangzhou Tien Sung Sporting Goods Co., Ltd.</t>
  </si>
  <si>
    <t>No.3 Tian Sheng Road, Yunpu Industrial Zone, Luogang District, Guangzhou, Guangdong</t>
  </si>
  <si>
    <t>HAINING ONLY ONE KNITTING CO.LTD 海宁欧力旺针织有限公司</t>
  </si>
  <si>
    <t>6F, building D, No. 36, Shuangxue Road, Haichang Street, Haining City, Zhejiang</t>
  </si>
  <si>
    <t>Haiyan Nansheng Garments Co., Ltd.</t>
  </si>
  <si>
    <t>Yucheng Town, Haiyan</t>
  </si>
  <si>
    <t>Henan Guangyu Shoes Co., Ltd 河南广昱鞋业有限公司</t>
  </si>
  <si>
    <t>EVA WORLDWIDE TRADING CO. LIMITED.</t>
  </si>
  <si>
    <t>No.1,Zhongzhou Avenue,Chunshen Street industrial cluster,Huangchuan County, Xinyang, Henan</t>
  </si>
  <si>
    <t>HUNAN NPIO SHOES CO; LTD 湖南恩必讴鞋业有限公司</t>
  </si>
  <si>
    <t>Diamond Group International Limited</t>
  </si>
  <si>
    <t>North of national highway 107, qianzhen village, Wuli Township, Linxiang, YUYNAG, Hunan</t>
  </si>
  <si>
    <t>Jiang Su Asian Sourcing Headwear Mfg. Co., Ltd.</t>
  </si>
  <si>
    <t>Asian Sourcing International Limited</t>
  </si>
  <si>
    <t>No. 2 South Guangzhou Road, Economic And Technology Development Zone, Huai An City, Jiangsu</t>
  </si>
  <si>
    <t>Jiangmen Treasure Success Business Consultancy Company Limited</t>
  </si>
  <si>
    <t>Self-compiled B2 (1-2F), (Building No. 2), No. 3 Jinhua Road, Huicheng, Xinhui District, JiangMen, Guangdong</t>
  </si>
  <si>
    <t>Jiangyin Fansheng Knitting Co., Ltd.</t>
  </si>
  <si>
    <t>No. 199, Huannan Road, Huashi Town, Jiangyin, Jiangsu</t>
  </si>
  <si>
    <t>Jiaxing Longyong Garments Co., Ltd.</t>
  </si>
  <si>
    <t>Long Yong Japan Corporation</t>
  </si>
  <si>
    <t>39Jufu Road Duguang Line Dushangtown, Pinghu City</t>
  </si>
  <si>
    <t>JIAXING QUANG VIET GARMENT CO.,LTD.</t>
  </si>
  <si>
    <t>Quang Viet Enterprise Co., Ltd</t>
  </si>
  <si>
    <t>Pingxingxian tongxinduan 318 Xindai Town, Pinghu City, Zhejiang</t>
  </si>
  <si>
    <t>Kang Teng (Shenzhen) Sports Goods Ltd.</t>
  </si>
  <si>
    <t>Si Fang Pu Community, Tongxin South Road 6Th, Pingdi Street, Longgang, Shenzhen, Guangdong</t>
  </si>
  <si>
    <t>LECROWN SHOES INDUSTRY Co., Ltd</t>
  </si>
  <si>
    <t>Elite Global Footwear Ltd.</t>
  </si>
  <si>
    <t>Hualin Industry Zone, PuTian City</t>
  </si>
  <si>
    <t>LiaoYang LongYan Garment Co., Ltd</t>
  </si>
  <si>
    <t>No. 122-1, Rongxing Road, Taizihe District, Liaoyang, Liaoning</t>
  </si>
  <si>
    <t>NanTong Iwai Clothing Co Ltd</t>
  </si>
  <si>
    <t>No. 39 YongXin Road, Gangza Development Zone, NanT, JiangSu</t>
  </si>
  <si>
    <t>Nantong Jackbeanie Headwear &amp; Garment Co., Ltd.</t>
  </si>
  <si>
    <t>Nantong Jiekebaini Garment &amp; Headwear Co., Ltd.</t>
  </si>
  <si>
    <t>No. 808, The Third Industry, Guoyuan Town, Rugao, Jiangsu</t>
  </si>
  <si>
    <t>Ningbo Shendie fashion Co.,Ltd</t>
  </si>
  <si>
    <t>Shenzhou International Group</t>
  </si>
  <si>
    <t>No.19 Daggang 5th Road, Ningbo, Zhejiang</t>
  </si>
  <si>
    <t>Putian Shingchang Footwear Industry Co., Ltd.</t>
  </si>
  <si>
    <t>MinYing Industrial District, Nanshaolin Road, XiTianWei, Putian, Fujian</t>
  </si>
  <si>
    <t>No</t>
  </si>
  <si>
    <t>Qiaojin Garment Factory</t>
  </si>
  <si>
    <t>PNH LTD.</t>
  </si>
  <si>
    <t>No. 22 Xinhua 1 Road, Xincha Junan Town, Shunde, Foshan City, Guangdong</t>
  </si>
  <si>
    <t xml:space="preserve">QMI Industrial (Jiangsu) Co., Ltd. </t>
  </si>
  <si>
    <t>No.1 Jinshajiang West Road, Changshu Sihong Industrial Park, Sihong County, Suqian, Jiangsu</t>
  </si>
  <si>
    <t>QMI Industrial (Shanghai) Limited</t>
  </si>
  <si>
    <t>515 Yuanfu Rd., Anting Town, Shanghai</t>
  </si>
  <si>
    <t>Quanzhou Pengtai Garments Co., Ltd.</t>
  </si>
  <si>
    <t>Base Of Textile And Clothing, Jinshang Town, Shishi Area, Quanzhou City, Quanzhou, Fujian</t>
  </si>
  <si>
    <t>Shang Gao Chung Jye Shoes Co., Ltd.</t>
  </si>
  <si>
    <t>Chung-Jye Shoes Co., LTD</t>
  </si>
  <si>
    <t>No. 1 Sunshine Road, Huangjindui Industrial Area, Yi Chun City</t>
  </si>
  <si>
    <t>Shang Gao Chung Jye Shoes Co., Ltd., Tian Xin Branch</t>
  </si>
  <si>
    <t>Tian Xin Town Industrial, Shanggao, Yichun City, Jiangxi</t>
  </si>
  <si>
    <t>Shanghai Qianrun Garments Co., Ltd</t>
  </si>
  <si>
    <t>No.233, Lane1888, Daye Road, Wuqiao Industrial Zone, Fengxian District, Shanghai, Shanghai Shi</t>
  </si>
  <si>
    <t>Shantou Anpeien Women &amp; Children's Products Industrial Co., Ltd.</t>
  </si>
  <si>
    <t>No.18, Dongyang Area, Xiaan Road, Sihe Village, Lugang Town, Chaonan District, Shantou, Guangdong</t>
  </si>
  <si>
    <t>Shicheng Victory Footwear Co., LTD 石城龙行天下鞋业有限公司</t>
  </si>
  <si>
    <t>Quanshang indurstrial park,Guzhang industrial Zone, Qinjiang Town, Shicheng County, Ganzhou, Jiangxi</t>
  </si>
  <si>
    <t>Shoetown YangShan footwear CO.LTD</t>
  </si>
  <si>
    <t>Shoetown Footwear Co., Ltd.</t>
  </si>
  <si>
    <t>183 Han Yu Road, Yang Cheng Town, Yang Shan County, Qing Yuan City, Guang Dong Province</t>
  </si>
  <si>
    <t>Socksea Shanghai Co., Ltd.</t>
  </si>
  <si>
    <t>Building 1, Shanghai</t>
  </si>
  <si>
    <t xml:space="preserve">SUZHOU DAIWA KNITTNG AND GARMENT CO., LTD </t>
  </si>
  <si>
    <t>NO.26 XUPAI ROAD, Suzhou</t>
  </si>
  <si>
    <t>Weihai Dishang Huarong Garments Co., Ltd</t>
  </si>
  <si>
    <t>3rd floor of Building 2, Weihai</t>
  </si>
  <si>
    <t>Wellpower Sporting Goods CO.,LTD</t>
  </si>
  <si>
    <t>#112, LiaoFu Road, Dongguan</t>
  </si>
  <si>
    <t>WT Sports Enterprise Ltd.</t>
  </si>
  <si>
    <t>Shen Zhen AT Sports Enterpr.Ltd.</t>
  </si>
  <si>
    <t>Guidong Industrial Park, Hunan, Chenzhou, Hunan</t>
  </si>
  <si>
    <t>YANGZHOU HUIHONG TRAVELLING ARTICLES CO., LTD 扬州市汇鸿旅行用品有限公司</t>
  </si>
  <si>
    <t xml:space="preserve"> Nancha Village, Tianshan Town, Gaoyou City,  Yangzhou City,  Jiangsu Province, Yangzhou, Jiangsu</t>
  </si>
  <si>
    <t>YiFeng ChungJye Shoes Manufacturer LTD 宜丰中杰鞋业有限公司</t>
  </si>
  <si>
    <t>YIFENG INDUSTRIAL PARK, YICHUN CITY, Jiangxi</t>
  </si>
  <si>
    <t>Yongzhou Xiangwei Sports Goods Ltd.</t>
  </si>
  <si>
    <t>Wu Li Peng Industrial District, Tafeng Town, Lanshan County, Yongzhou, Hunan</t>
  </si>
  <si>
    <t>Indonesia</t>
  </si>
  <si>
    <t>HORNG DAR FOOTWEAR</t>
  </si>
  <si>
    <t>Zhao Qing Chung Jye Manufacturer Ltd.</t>
  </si>
  <si>
    <t>Town West Industrial Zone, Nanan, Gaoyao, Zhaoqing</t>
  </si>
  <si>
    <t>Zhu Hai Haoyuan Garment Co. Ltd.</t>
  </si>
  <si>
    <t>No. 13 Jingfeng Road West, Jinding, Tangiawan Town, High-Tech District, Zhuhai, Guangdong</t>
  </si>
  <si>
    <t>Costa Rica</t>
  </si>
  <si>
    <t>Industrias Cordero Y Chavarria</t>
  </si>
  <si>
    <t>300 E, 125 N Iglesia B. Lourdes, San Isidro Del General</t>
  </si>
  <si>
    <t>Czech Republic</t>
  </si>
  <si>
    <t>Ace Sport S.R.O.</t>
  </si>
  <si>
    <t>Sedlackova 472/6, Pisek</t>
  </si>
  <si>
    <t>Alena Cendelinova</t>
  </si>
  <si>
    <t>Topelec 41 Cz-397 01, Pisek</t>
  </si>
  <si>
    <t>Gufex S.R.O.</t>
  </si>
  <si>
    <t>Katerinice 180, 756 21, Katerinice</t>
  </si>
  <si>
    <t>El Salvador</t>
  </si>
  <si>
    <t>Confecciones Del Valle, S.A. De C.V.</t>
  </si>
  <si>
    <t>Km 24 Carretera A Santa Ana, Export Salva Free Zone Ciudad, Lourdes, Colon, La Libertad</t>
  </si>
  <si>
    <t>India</t>
  </si>
  <si>
    <t>F. C. Sondhi &amp;  Co. (India) Pvt. Ltd</t>
  </si>
  <si>
    <t>G.T. Road, Suranussi, Jalandhar, Punjab</t>
  </si>
  <si>
    <t>Mochiko Shoes Pvt. Ltd.</t>
  </si>
  <si>
    <t>Khasra No.-3912, Lal Tappar Industrial Area, Majri Grant, NH-72, Dehradun, Uttarakhand</t>
  </si>
  <si>
    <t>Mochiko Shoes Pvt. Ltd. (Unit IV)</t>
  </si>
  <si>
    <t>KHASRA NO.3914, LALTAPPAR IND. AREA, MAJRIGRANT, Dehradun, Uttarakhand</t>
  </si>
  <si>
    <t>P.T. Kahatex</t>
  </si>
  <si>
    <t>Kahatex</t>
  </si>
  <si>
    <t>Jl. Cijerah Cigondewah Girang No. 16, Rt 001/ Rw 032 Melong - Cimahi Selatan, Cimahi - Jawa Barat, Cimahi, Jawa Barat</t>
  </si>
  <si>
    <t>P.T. KAHATEX MAJALAYA</t>
  </si>
  <si>
    <t>L. RAYA RANCAEKEK MAJALAYA NO. 389, DESA SOLOKAN JERUK, MAJALAYA</t>
  </si>
  <si>
    <t>PT Glostar Indonesia (Cikembar A Unit)</t>
  </si>
  <si>
    <t>Pou Chen Corporation</t>
  </si>
  <si>
    <t>Jln. Pelabuhan 2 KM 14.5, Kab. Sukabumi</t>
  </si>
  <si>
    <t xml:space="preserve">PT Sejin Fashion Indonesia </t>
  </si>
  <si>
    <t>Sudo, Wangunrejo, Margorejo, Pati, Jawa Tengah</t>
  </si>
  <si>
    <t>PT Sukses Abadi Indonesia</t>
  </si>
  <si>
    <t>Jl.Gondang -Lengkong RT.000 RW.000 , Gondangkulon Gondang , Nganjuk, Jawa Timur</t>
  </si>
  <si>
    <t>PT. Metro Pearl Indonesia</t>
  </si>
  <si>
    <t xml:space="preserve">Hsieh Da Group </t>
  </si>
  <si>
    <t>Jalan Pramuka Raya Km.0.99, No.18 Desa Bunder, Kecamatan, Jatiluhur, Desa Bunder, Kec.Jatiluhur, Purwakarta, Jawa Barat</t>
  </si>
  <si>
    <t>PT. NAGA ANGKASA PERKASA (NAP)</t>
  </si>
  <si>
    <t>JL. RAYA CIREBON - TEGAL, BREBES</t>
  </si>
  <si>
    <t>PT. Parkland World Indonesia Plant 2</t>
  </si>
  <si>
    <t>PARKLAND GROUP</t>
  </si>
  <si>
    <t>Jalan Lanud Gorda Km 68, Julang, Cikande, Banten</t>
  </si>
  <si>
    <t>PT. SENG DAM JAYA ABADI</t>
  </si>
  <si>
    <t>Sengdam Jaya Abadi</t>
  </si>
  <si>
    <t>DUSUN MANDURO MANGGUNG GAJAH RT.015 RW.003, KEC.NGORO</t>
  </si>
  <si>
    <t>PT. Victory Apparel Semarang</t>
  </si>
  <si>
    <t>Kawasan Berikat Tanjung Emas Export Processing Zone Jl., Coaster 8 Blok B01-06A Tanjungmas, Semarang Utara Kota, Jawa Tengah</t>
  </si>
  <si>
    <t>Kitai Co Ltd</t>
  </si>
  <si>
    <t>Japan</t>
  </si>
  <si>
    <t>32 Taka, Kashiba-Shi, Nara</t>
  </si>
  <si>
    <t>M.Lab CO.,LTD.</t>
  </si>
  <si>
    <t>1123-1, Kanki, Higashikanki-Cho, Kakogawa-Shi, Hyogo</t>
  </si>
  <si>
    <t>Jordan</t>
  </si>
  <si>
    <t>Jerash Garments &amp; Fashions Manufacturing Co Ltd [Unit 1]</t>
  </si>
  <si>
    <t>Al-Tajamouat Industrial Estate-Sahab Alazraq Street, Al Eman  Khrlba  Al Souq - Block F, Amman</t>
  </si>
  <si>
    <t>Jerash Garments &amp; Fashions Manufacturing Co Ltd [Unit 2 &amp; 3]</t>
  </si>
  <si>
    <t>Al-Tajamouat Industrial Estate-Sahab Alazraq Street, Al Eman  Khrlba  Al Souq Sahab - Block T and  V, Amman</t>
  </si>
  <si>
    <t>Warrior Sports Mexico</t>
  </si>
  <si>
    <t>Mexico</t>
  </si>
  <si>
    <t>New Balance Athletics, Inc.</t>
  </si>
  <si>
    <t>Calle Agua Dulce #7050-1 , Col. Loma Bonita, Tijuana</t>
  </si>
  <si>
    <t>Eurobottle BV</t>
  </si>
  <si>
    <t>Netherlands</t>
  </si>
  <si>
    <t>Pioniersweg 32, Dronten, Flevoland</t>
  </si>
  <si>
    <t>Wells Apparel Nicaragua, S.A</t>
  </si>
  <si>
    <t>Nicaragua</t>
  </si>
  <si>
    <t>Zona Franca Astro Nicaragua, Edificio 11A, KM 47 1/2 Carretera Masaya a Tipitapa, Tipitapa, Managua</t>
  </si>
  <si>
    <t>Pakistan</t>
  </si>
  <si>
    <t>Leatherware  Pvt  Ltd.</t>
  </si>
  <si>
    <t>Leatherware Ltd.</t>
  </si>
  <si>
    <t>19 Km. Daska Road, Sialkot</t>
  </si>
  <si>
    <t>Philippines</t>
  </si>
  <si>
    <t>Alson Sportswear</t>
  </si>
  <si>
    <t>QUICKSTRIKE</t>
  </si>
  <si>
    <t>Old Road, Living Rock Compound, San Fernando, Philippines</t>
  </si>
  <si>
    <t>Tri-Phil International, Inc.</t>
  </si>
  <si>
    <t>R.M. Tiosejo Industrial Complex Block 1, Lot No. 8, Bo. Tunasan, Muntinlupa City, Metro Manila</t>
  </si>
  <si>
    <t>Portugal</t>
  </si>
  <si>
    <t>Manuel Fernando Azevedo SA</t>
  </si>
  <si>
    <t>Rua Do Monte, 386 Palmeira, Santo Tirso, N/A, Santo Tirso, Santo Tirso</t>
  </si>
  <si>
    <t>Neiper Home S.A.</t>
  </si>
  <si>
    <t>Rua Das Escolas, 1466, Guimarães, Braga</t>
  </si>
  <si>
    <t>Sri Lanka</t>
  </si>
  <si>
    <t>Bodyline (PVT) Limited</t>
  </si>
  <si>
    <t>MAS Holdings</t>
  </si>
  <si>
    <t>Ratnapura Road, Gurugoda, N/A, Horana, Western Province</t>
  </si>
  <si>
    <t>United States</t>
  </si>
  <si>
    <t xml:space="preserve">Bodyline (Pvt) Limited (BPL II) </t>
  </si>
  <si>
    <t>Kalawellawa Road,Pimbura, Agalawatta</t>
  </si>
  <si>
    <t>Taiwan (ROC)</t>
  </si>
  <si>
    <t>Because Profession Design Co., Ltd.</t>
  </si>
  <si>
    <t>4F., No.127, Wugong Rd., Wugu Dist., New Taipei City 248</t>
  </si>
  <si>
    <t>YES (5)</t>
  </si>
  <si>
    <t>E-Z'S WIN INC.</t>
  </si>
  <si>
    <t>No. 16, Da Tong Road, Wuqui District,  Taichung City</t>
  </si>
  <si>
    <t>Jiao Hsiung Industry  Corp.</t>
  </si>
  <si>
    <t>No.372, Bade Street, Shulin District, New Taipei City</t>
  </si>
  <si>
    <t>YES (33)</t>
  </si>
  <si>
    <t>Thailand</t>
  </si>
  <si>
    <t xml:space="preserve">Trax Intertrade Co., Ltd. [Roi Et] </t>
  </si>
  <si>
    <t>No. 61, Village No. 5, Chang Han Sub-District, Chang Han District, Roi Et Province, Roi Et, Roi Et</t>
  </si>
  <si>
    <t>Hochbereg Ltd. (Tunisia)</t>
  </si>
  <si>
    <t>Tunisia</t>
  </si>
  <si>
    <t>Hochmuth GmbH &amp; Co. KG</t>
  </si>
  <si>
    <t>Route Omar El Mokhtar, Bizerte - Ain Mariam</t>
  </si>
  <si>
    <t>SLN TEKSTIL VE MODA SAN. TIC. A.S. (KDZ)</t>
  </si>
  <si>
    <t>Turkey</t>
  </si>
  <si>
    <t>Sln Tekstil Karadeniz A.S.</t>
  </si>
  <si>
    <t>SLN Tekstil Ve Moda San. Tic. A.S.</t>
  </si>
  <si>
    <t xml:space="preserve">Mahmutbey Mah. 2655 (Altug) Sok. No:2, Bagcilar </t>
  </si>
  <si>
    <t>Fatsa Organize Sanayi Bolgesi. M. Akif Besik Sokak. No:7, Fatsa, Ordu</t>
  </si>
  <si>
    <t>Fisher-Mukachewo</t>
  </si>
  <si>
    <t>Ukraine</t>
  </si>
  <si>
    <t>Industrialnaja Str., 16, Mukachevo, Zakarpats'ka</t>
  </si>
  <si>
    <t>Hoch-Bereg LTD - Facility 1</t>
  </si>
  <si>
    <t>Petí_Fi U. 29, Petí_Fi U. 29, Nagybereg, Zakarpats'Ka</t>
  </si>
  <si>
    <t>Hoch-Bereg LTD - Facility 2</t>
  </si>
  <si>
    <t>Petí_Fi U. 7, Petí_Fi U. 7, Nagybegany, Zakarpats'Ka</t>
  </si>
  <si>
    <t>Hoch-Bereg LTD - Facility 3</t>
  </si>
  <si>
    <t>Macsola Street 112/1, Beregszász, Zakarpats'Ka</t>
  </si>
  <si>
    <t>United Kingdom</t>
  </si>
  <si>
    <t>Elms Marketing Ltd.</t>
  </si>
  <si>
    <t>Hulley Road, Hurdsfield Industrial Estate, Macclesfield</t>
  </si>
  <si>
    <t>Infinity Apparel</t>
  </si>
  <si>
    <t>3 Whitehall Cross, Leeds</t>
  </si>
  <si>
    <t>New Balance Flimby</t>
  </si>
  <si>
    <t>St. Helen'S Lane, Workington Road, Flimby, Maryport, Ca15 8Ry Gbr, Flimby, Maryport, Cumbria</t>
  </si>
  <si>
    <t>Vietnam</t>
  </si>
  <si>
    <t>Far Eastern New Century Corporation</t>
  </si>
  <si>
    <t>Blue Dolphin</t>
  </si>
  <si>
    <t>22 Canal St., Suite 425, Somersworth, New Hampshire</t>
  </si>
  <si>
    <t>MC Creations Inc.</t>
  </si>
  <si>
    <t>83 Hobart Street, Hackensack, NJ</t>
  </si>
  <si>
    <t>New Balance Lawrence</t>
  </si>
  <si>
    <t>5 S. Union Street, Lawrence, Massachusetts</t>
  </si>
  <si>
    <t>New Balance Norridgewalk</t>
  </si>
  <si>
    <t>Depot St, Norridgewalk, Maine, Maine</t>
  </si>
  <si>
    <t>New Balance Norway</t>
  </si>
  <si>
    <t>12 Cottage Street Extension, Norway, Maine</t>
  </si>
  <si>
    <t>New Balance Skowhegan</t>
  </si>
  <si>
    <t>12 Walnut St, Skowhegan, Maine</t>
  </si>
  <si>
    <t>Printed Matter</t>
  </si>
  <si>
    <t>Coed Sportswear Inc.</t>
  </si>
  <si>
    <t>27 Pleasant St., Newfields, New Hampshire</t>
  </si>
  <si>
    <t>Save Khaki United</t>
  </si>
  <si>
    <t>4815 S Santa Fe Ave, Vernon, California</t>
  </si>
  <si>
    <t>Stahls DFC</t>
  </si>
  <si>
    <t>STAHLS</t>
  </si>
  <si>
    <t>1 Stahl Drive, Masontown, Pennsylvania</t>
  </si>
  <si>
    <t>Warrior Sports, Inc.</t>
  </si>
  <si>
    <t>6610 19 1/2 Mile Rd., Sterling Heights, Michigan</t>
  </si>
  <si>
    <t>Project One Apparel Inc</t>
  </si>
  <si>
    <t>United States of America</t>
  </si>
  <si>
    <t>Project One Apparel</t>
  </si>
  <si>
    <t>2910 S. Alameda St, Vernon, California</t>
  </si>
  <si>
    <t>ADIANA Viet Nam Footwear Company Limited</t>
  </si>
  <si>
    <t>Ha Lung Thuong Hamlet，Tho Dan Commune, Trieu Son Dictrict, Thanh Hoa Province</t>
  </si>
  <si>
    <t>An Giang Samho Co., Ltd</t>
  </si>
  <si>
    <t>Samho Industrial Co., Ltd.</t>
  </si>
  <si>
    <t>Lot C3, Binh Hoa Industrial Park, Chau Thanh District, An Giang, An Giang</t>
  </si>
  <si>
    <t xml:space="preserve">Anywear Co., Ltd.											</t>
  </si>
  <si>
    <t>Workshop2 Lot A.V Street1, Long Thanh, Dong Nai</t>
  </si>
  <si>
    <t>Delta Sport Joint Stock Company</t>
  </si>
  <si>
    <t>Delta Balls Limited</t>
  </si>
  <si>
    <t>Trung Son street, 510 provincial road, But Son town, Hoang Hoa district, Thanh Hoa province</t>
  </si>
  <si>
    <t>Diamond Vietnam Co Ltd</t>
  </si>
  <si>
    <t>N5-N6, My Phuoc Industrial Park, Ben Cat District, Binh Duong Province, Binh Duong</t>
  </si>
  <si>
    <t>Ever Great International Co. Ltd.</t>
  </si>
  <si>
    <t>Gia Van, Industrial Zone, Gia Van Commune, Gia Vien</t>
  </si>
  <si>
    <t>Far Eastern Apparel (Viet Nam) Co. Ltd. (VSIPII branch)</t>
  </si>
  <si>
    <t>No. 12A, Đường số 32, VSIP 2A, Binh Duong</t>
  </si>
  <si>
    <t>Far Eastern Apparel (Vietnam) Limited</t>
  </si>
  <si>
    <t>No. 46, Dai Lo Tu Do Vietnam Singapore Industrial Park, Thuan An</t>
  </si>
  <si>
    <t>Freeview Industrial Vietnam Co. Ltd.</t>
  </si>
  <si>
    <t>Dean Shoes Group</t>
  </si>
  <si>
    <t>Lot Aii-1-8, Aiii-6, Aiv-1-9 Tan Huong Iz, Tan Huong Ward, Tan Huong, Tien Giang Province, Tien Giang</t>
  </si>
  <si>
    <t>Gen Nex Apparel Co. Ltd.</t>
  </si>
  <si>
    <t>Gennex Apparel</t>
  </si>
  <si>
    <t>Lot A1, A2, A3, A4, Giao Long Industrial Zone, An Phuoc Commune , Chau Thanh District, Ben Tre</t>
  </si>
  <si>
    <t>Grande International Enterprise Corp Co., Ltd.</t>
  </si>
  <si>
    <t>Vista Venture Inc.</t>
  </si>
  <si>
    <t>Nhon Trach Ii Industrial Zone, Nhon Trach Dist, Dong Nai Province, Nhon Trach Dist, Nhon Trach Dist, Dong Nai</t>
  </si>
  <si>
    <t>Himaru Vietnam Co., Ltd.</t>
  </si>
  <si>
    <t>Himaru Industrial Co., Ltd.</t>
  </si>
  <si>
    <t>Street No 8, Thong Nhat Avenue, Song Than Ii Industrial Park, Di An Town, Binh Duong Province, Di An Town, Binh Duong</t>
  </si>
  <si>
    <t>Jia Hsin Co., Ltd.</t>
  </si>
  <si>
    <t>Jia Cheng Corp</t>
  </si>
  <si>
    <t>D1-D6 Cau Tram Industrial Park, Cau Tram Village, Long Trach Commune, Can Duoc Dist, Long An Province, Can Duoc District, Long An</t>
  </si>
  <si>
    <t>Kingstyle Garment Co., Ltd</t>
  </si>
  <si>
    <t>Nhan Tam Hamlet,  Xuyen Moc Commune, Xuyen Moc District, Ba Ria-Vung Tau</t>
  </si>
  <si>
    <t xml:space="preserve">Kwang Viet Garment Co., Ltd. </t>
  </si>
  <si>
    <t>Lot 10, Unit 2, Nguyen Van Ni Street, Cu Chi Town, Cu Chi District, Ho Chi Minh, Thanh Pho Ho Chi Minh</t>
  </si>
  <si>
    <t>Longway Viet Nam Company Limited</t>
  </si>
  <si>
    <t>Long Way Enterprise Co Ltd</t>
  </si>
  <si>
    <t>Lot Hc1, Road 3, Xuyen A Industrial Park, My Hanh Bac Commune, Tan An, Long An</t>
  </si>
  <si>
    <t>Ninh Binh VietNam Chung Jye Shoes Manufacturing CO. LTD</t>
  </si>
  <si>
    <t>Khanh Nhac Industrial Park, Khanh Nhac Town, Yen Khanh District, Ninh Binh</t>
  </si>
  <si>
    <t>Pou Hung Vietnam Company Limited</t>
  </si>
  <si>
    <t>Road No. 1, Cha La Industrial Park, Binh Linh Hamlet, Cha La Village, Duong Minh Chau District, Tay Ninh</t>
  </si>
  <si>
    <t xml:space="preserve">Pou Yuen Vietnam Company Limited (PVN) </t>
  </si>
  <si>
    <t>D10/89Q National Highway 1A, Tan Tao Ward, Binh Tan District, Ho Chi Minh City, Thanh Pho Ho Chi Minh</t>
  </si>
  <si>
    <t>Praegear VN Co.LTD</t>
  </si>
  <si>
    <t>Lot 25,Road No 1, Tan Duc Industrial Zone,Duc Hoa District, Long An province, Duc Hoa</t>
  </si>
  <si>
    <t>Pungkook Saigon Two Corporation</t>
  </si>
  <si>
    <t>Sports Lab International</t>
  </si>
  <si>
    <t>No. 2A, Road # 8, Song Than 1 Industrial Zone, Di An Ward, Di An Town,Binh Duong</t>
  </si>
  <si>
    <t>Quint Major Industrial Vietnam Co., Ltd.</t>
  </si>
  <si>
    <t># 66-70, Linh Trung Epz Ii, Linh Trung Export Processing Zone Ii, Binh Chieu Ward, Thu Duc District, Ho Chi Minh City, Ho Chi Minh</t>
  </si>
  <si>
    <t>Suh Lim Vina Co., Ltd.</t>
  </si>
  <si>
    <t>Street D 04, Chau Duc Industrial Park, Quang Tay Village, Nghia Thanh Commune, Chau Duc District, Ba Ria-Vung Tau</t>
  </si>
  <si>
    <t>Thanh Cong Textile Garment  Investment Trading Joint Stock Company</t>
  </si>
  <si>
    <t>36 Tay Thanh St, Tan Phu District, Ho Chi Minh City, Ho Chi Minh</t>
  </si>
  <si>
    <t>Tri-Viet International Co., Ltd.</t>
  </si>
  <si>
    <t>Plot 2-9A, Tra Noc Ii Industrial Zone, Phuoc Thoi Ward, O Mon District, Can Tho City, Can Tho</t>
  </si>
  <si>
    <t>Vast Apparel (Vietnam) Ltd.</t>
  </si>
  <si>
    <t>Lot A5,A6,A7,B1, B2, Tam Dan Industrial Zone, Phu Ninh District, Quang Nam, Quang Nam</t>
  </si>
  <si>
    <t>VIET NAM VICTORY SHOES COMPANY LIMITED</t>
  </si>
  <si>
    <t>Victory Group</t>
  </si>
  <si>
    <t>Lot C, Lot D,  VU THU INDUSTRIAL CLUSTERS,   VU THU DISTRICT, Thai Binh province</t>
  </si>
  <si>
    <t>Vietnam Elite Global Footwear Manufacturing Company Limited</t>
  </si>
  <si>
    <t>356 ,1A Highway, Quarter 9, Ben Luc Town, Long An Province</t>
  </si>
  <si>
    <t>Vietnam Elite Shoes Co. Ltd.</t>
  </si>
  <si>
    <t>Long Dinh - Long Cang Industrial Park, Hamlet 4, Can Duoc</t>
  </si>
  <si>
    <t>Vietnam Samho Co., Ltd.</t>
  </si>
  <si>
    <t>No. 1243, Provincial Road 8, Thanh An Hamlet, Trung An Village, Cu Chi District, Ho Chi Minh City</t>
  </si>
  <si>
    <t>Vinh Tien Garment JSC</t>
  </si>
  <si>
    <t>1A Hung Dao Vuong St. Ward 1, Vinh Long</t>
  </si>
  <si>
    <t>WORLDON (VIET NAM) COMPANY LIMITED</t>
  </si>
  <si>
    <t>Lot D1, Road D4, Dong Nam IP, Hoa Phu commune, Ho Chi Minh</t>
  </si>
  <si>
    <t>YI FENG FOOTWEAR JOINT VENTURE CO., LTD.</t>
  </si>
  <si>
    <t>YI JHAN COMPANY LIMITED</t>
  </si>
  <si>
    <t>Lot CN4, Tran Quoc Toan Industrial Park, Cao Lanh</t>
  </si>
  <si>
    <t>Treasure Success International Limited</t>
  </si>
  <si>
    <t>SD BIZ CO.,LTD.</t>
  </si>
  <si>
    <t>PT Sengdam Jaya Abadi</t>
  </si>
  <si>
    <t>NICE ELITE INTERNATIONAL LIMITED</t>
  </si>
  <si>
    <t>YES (928)</t>
  </si>
  <si>
    <t>YES (1,051)</t>
  </si>
  <si>
    <t>Active</t>
  </si>
  <si>
    <t>Employment of Foreign Migrant Workers/No.</t>
  </si>
  <si>
    <t>The New Balance Supplier list includes all finished product Tier One suppliers, including New Balance-owned facilities, contract suppliers and suppliers sourced through agents. 
This list is also available on the Open Apparel Registry (openapparel.org). This list is updated semi-annually and was last updated in February of 2022.</t>
  </si>
  <si>
    <t>ANHUI KORRUN GROUP CORPORATION</t>
  </si>
  <si>
    <t>No.3,North District,Runhai Industrial Community,Donghai Economic Development Zone, Donghai, Jiangsu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</si>
</sst>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26"/>
      <color rgb="FFD31D33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1D3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2" xfId="0" applyFont="1" applyFill="1" applyBorder="1"/>
    <xf numFmtId="0" fontId="1" fillId="4" borderId="0" xfId="0" applyFont="1" applyFill="1"/>
    <xf numFmtId="0" fontId="1" fillId="2" borderId="3" xfId="0" applyFont="1" applyFill="1" applyBorder="1"/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" fontId="0" fillId="0" borderId="1" xfId="0" applyNumberFormat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5</xdr:row>
      <xdr:rowOff>76200</xdr:rowOff>
    </xdr:from>
    <xdr:to>
      <xdr:col>3</xdr:col>
      <xdr:colOff>135028</xdr:colOff>
      <xdr:row>5</xdr:row>
      <xdr:rowOff>496407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F6148-6000-401F-BA41-1B0C61511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76200"/>
          <a:ext cx="754153" cy="4202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-my.sharepoint.com/Users/jaquach/AppData/Local/Temp/Temp1_OneDrive_1_2-2-2018.zip/Copy%20of%20Factory%20Unions%20and%20CBAs%202016_comple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-my.sharepoint.com/Users/chchoi/AppData/Local/Microsoft/Windows/Temporary%20Internet%20Files/Content.Outlook/9QF9FWED/FLA_Full_Member_Import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Sheet1"/>
    </sheetNames>
    <sheetDataSet>
      <sheetData sheetId="0"/>
      <sheetData sheetId="1">
        <row r="1">
          <cell r="A1" t="str">
            <v>Yes</v>
          </cell>
        </row>
        <row r="2">
          <cell r="A2" t="str">
            <v>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Instructions"/>
      <sheetName val="Guidance"/>
      <sheetName val="Product Category"/>
      <sheetName val="Reference Lists"/>
    </sheetNames>
    <sheetDataSet>
      <sheetData sheetId="0"/>
      <sheetData sheetId="1"/>
      <sheetData sheetId="2">
        <row r="2">
          <cell r="A2" t="str">
            <v>Account Name</v>
          </cell>
        </row>
      </sheetData>
      <sheetData sheetId="3"/>
      <sheetData sheetId="4">
        <row r="1">
          <cell r="D1" t="str">
            <v>YES</v>
          </cell>
        </row>
        <row r="2">
          <cell r="B2" t="str">
            <v>Accessories</v>
          </cell>
          <cell r="D2" t="str">
            <v>NO</v>
          </cell>
        </row>
        <row r="3">
          <cell r="A3" t="str">
            <v>Aland Islands</v>
          </cell>
          <cell r="B3" t="str">
            <v>Apparel</v>
          </cell>
          <cell r="D3" t="str">
            <v>DO NOT KNOW</v>
          </cell>
        </row>
        <row r="4">
          <cell r="A4" t="str">
            <v>Albania</v>
          </cell>
          <cell r="B4" t="str">
            <v>Apparel - Strategic</v>
          </cell>
        </row>
        <row r="5">
          <cell r="A5" t="str">
            <v>Algeria</v>
          </cell>
          <cell r="B5" t="str">
            <v>Apparel / Footwear</v>
          </cell>
        </row>
        <row r="6">
          <cell r="A6" t="str">
            <v>American Samoa</v>
          </cell>
          <cell r="B6" t="str">
            <v>Chemical Industry</v>
          </cell>
        </row>
        <row r="7">
          <cell r="A7" t="str">
            <v>Andorra</v>
          </cell>
          <cell r="B7" t="str">
            <v>Construction</v>
          </cell>
        </row>
        <row r="8">
          <cell r="A8" t="str">
            <v>Angola</v>
          </cell>
          <cell r="B8" t="str">
            <v>Cosmetic Industry</v>
          </cell>
        </row>
        <row r="9">
          <cell r="A9" t="str">
            <v>Anguilla</v>
          </cell>
          <cell r="B9" t="str">
            <v>Extractive Industry</v>
          </cell>
        </row>
        <row r="10">
          <cell r="A10" t="str">
            <v>Antarctica</v>
          </cell>
          <cell r="B10" t="str">
            <v>Footwear</v>
          </cell>
        </row>
        <row r="11">
          <cell r="A11" t="str">
            <v>Antigua And Barbuda</v>
          </cell>
          <cell r="B11" t="str">
            <v>Footwear – Strategic</v>
          </cell>
        </row>
        <row r="12">
          <cell r="A12" t="str">
            <v>Argentina</v>
          </cell>
          <cell r="B12" t="str">
            <v>Forestry, Wood, Pulp and Paper</v>
          </cell>
        </row>
        <row r="13">
          <cell r="A13" t="str">
            <v>Armenia</v>
          </cell>
          <cell r="B13" t="str">
            <v>Furniture</v>
          </cell>
        </row>
        <row r="14">
          <cell r="A14" t="str">
            <v>Aruba</v>
          </cell>
          <cell r="B14" t="str">
            <v>Household</v>
          </cell>
        </row>
        <row r="15">
          <cell r="A15" t="str">
            <v>Australia</v>
          </cell>
          <cell r="B15" t="str">
            <v>Mechanical and Electrical Engineering</v>
          </cell>
        </row>
        <row r="16">
          <cell r="A16" t="str">
            <v>Austria</v>
          </cell>
          <cell r="B16" t="str">
            <v>Media and Graphic Industry</v>
          </cell>
        </row>
        <row r="17">
          <cell r="A17" t="str">
            <v>Azerbaijan</v>
          </cell>
          <cell r="B17" t="str">
            <v>Mills – Strategic</v>
          </cell>
        </row>
        <row r="18">
          <cell r="A18" t="str">
            <v>Bahamas</v>
          </cell>
          <cell r="B18" t="str">
            <v>Mills / Fabric</v>
          </cell>
        </row>
        <row r="19">
          <cell r="A19" t="str">
            <v>Bahrain</v>
          </cell>
          <cell r="B19" t="str">
            <v>Other</v>
          </cell>
        </row>
        <row r="20">
          <cell r="A20" t="str">
            <v>Bangladesh</v>
          </cell>
          <cell r="B20" t="str">
            <v>Sports equipment and Sportswear</v>
          </cell>
        </row>
        <row r="21">
          <cell r="A21" t="str">
            <v>Barbados</v>
          </cell>
          <cell r="B21" t="str">
            <v>Sundries – Strategic</v>
          </cell>
        </row>
        <row r="22">
          <cell r="A22" t="str">
            <v>Belarus</v>
          </cell>
          <cell r="B22" t="str">
            <v>Sundries / Accessories</v>
          </cell>
        </row>
        <row r="23">
          <cell r="A23" t="str">
            <v>Belgium</v>
          </cell>
          <cell r="B23" t="str">
            <v>Test</v>
          </cell>
        </row>
        <row r="24">
          <cell r="A24" t="str">
            <v>Belize</v>
          </cell>
          <cell r="B24" t="str">
            <v>Textiles, Clothing, Leather</v>
          </cell>
        </row>
        <row r="25">
          <cell r="A25" t="str">
            <v>Benin</v>
          </cell>
          <cell r="B25" t="str">
            <v>Toys and Games</v>
          </cell>
        </row>
        <row r="26">
          <cell r="A26" t="str">
            <v>Bermuda</v>
          </cell>
        </row>
        <row r="27">
          <cell r="A27" t="str">
            <v>Bhutan</v>
          </cell>
        </row>
        <row r="28">
          <cell r="A28" t="str">
            <v>Bolivia</v>
          </cell>
        </row>
        <row r="29">
          <cell r="A29" t="str">
            <v>Bosnia And Herzegovina</v>
          </cell>
        </row>
        <row r="30">
          <cell r="A30" t="str">
            <v>Botswana</v>
          </cell>
        </row>
        <row r="31">
          <cell r="A31" t="str">
            <v>Bouvet Island</v>
          </cell>
        </row>
        <row r="32">
          <cell r="A32" t="str">
            <v>Brazil</v>
          </cell>
        </row>
        <row r="33">
          <cell r="A33" t="str">
            <v>British Indian Ocean Territory</v>
          </cell>
        </row>
        <row r="34">
          <cell r="A34" t="str">
            <v>British Virgin</v>
          </cell>
        </row>
        <row r="35">
          <cell r="A35" t="str">
            <v>British Virgin</v>
          </cell>
        </row>
        <row r="36">
          <cell r="A36" t="str">
            <v>Brunei Darussalam</v>
          </cell>
        </row>
        <row r="37">
          <cell r="A37" t="str">
            <v>Bulgaria</v>
          </cell>
        </row>
        <row r="38">
          <cell r="A38" t="str">
            <v>Burkina Faso</v>
          </cell>
        </row>
        <row r="39">
          <cell r="A39" t="str">
            <v>Burundi</v>
          </cell>
        </row>
        <row r="40">
          <cell r="A40" t="str">
            <v>Cambodia</v>
          </cell>
        </row>
        <row r="41">
          <cell r="A41" t="str">
            <v>Cameroon</v>
          </cell>
        </row>
        <row r="42">
          <cell r="A42" t="str">
            <v>Canada</v>
          </cell>
        </row>
        <row r="43">
          <cell r="A43" t="str">
            <v>Cape Verde</v>
          </cell>
        </row>
        <row r="44">
          <cell r="A44" t="str">
            <v>Cayman Islands</v>
          </cell>
        </row>
        <row r="45">
          <cell r="A45" t="str">
            <v>Central African Republic</v>
          </cell>
        </row>
        <row r="46">
          <cell r="A46" t="str">
            <v>Chad</v>
          </cell>
        </row>
        <row r="47">
          <cell r="A47" t="str">
            <v>Channel Islands</v>
          </cell>
        </row>
        <row r="48">
          <cell r="A48" t="str">
            <v>Chile</v>
          </cell>
        </row>
        <row r="49">
          <cell r="A49" t="str">
            <v>China</v>
          </cell>
        </row>
        <row r="50">
          <cell r="A50" t="str">
            <v>Christmas Island</v>
          </cell>
        </row>
        <row r="51">
          <cell r="A51" t="str">
            <v>Cocos (Keeling) Islands</v>
          </cell>
        </row>
        <row r="52">
          <cell r="A52" t="str">
            <v>Colombia</v>
          </cell>
        </row>
        <row r="53">
          <cell r="A53" t="str">
            <v>Comoros</v>
          </cell>
        </row>
        <row r="54">
          <cell r="A54" t="str">
            <v>Congo</v>
          </cell>
        </row>
        <row r="55">
          <cell r="A55" t="str">
            <v>Congo, The Democratic Republic Of The</v>
          </cell>
        </row>
        <row r="56">
          <cell r="A56" t="str">
            <v>Cook Islands</v>
          </cell>
        </row>
        <row r="57">
          <cell r="A57" t="str">
            <v>Costa Rica</v>
          </cell>
        </row>
        <row r="58">
          <cell r="A58" t="str">
            <v>Cote D'Ivoire</v>
          </cell>
        </row>
        <row r="59">
          <cell r="A59" t="str">
            <v>Croatia</v>
          </cell>
        </row>
        <row r="60">
          <cell r="A60" t="str">
            <v>Cuba</v>
          </cell>
        </row>
        <row r="61">
          <cell r="A61" t="str">
            <v>Cyprus</v>
          </cell>
        </row>
        <row r="62">
          <cell r="A62" t="str">
            <v>Czech Republic</v>
          </cell>
        </row>
        <row r="63">
          <cell r="A63" t="str">
            <v>Denmark</v>
          </cell>
        </row>
        <row r="64">
          <cell r="A64" t="str">
            <v>Djibouti</v>
          </cell>
        </row>
        <row r="65">
          <cell r="A65" t="str">
            <v>Dominica</v>
          </cell>
        </row>
        <row r="66">
          <cell r="A66" t="str">
            <v>Dominican Republic</v>
          </cell>
        </row>
        <row r="67">
          <cell r="A67" t="str">
            <v>Ecuador</v>
          </cell>
        </row>
        <row r="68">
          <cell r="A68" t="str">
            <v>Egypt</v>
          </cell>
        </row>
        <row r="69">
          <cell r="A69" t="str">
            <v>El Salvador</v>
          </cell>
        </row>
        <row r="70">
          <cell r="A70" t="str">
            <v>Equatorial Guinea</v>
          </cell>
        </row>
        <row r="71">
          <cell r="A71" t="str">
            <v>Eritrea</v>
          </cell>
        </row>
        <row r="72">
          <cell r="A72" t="str">
            <v>Estonia</v>
          </cell>
        </row>
        <row r="73">
          <cell r="A73" t="str">
            <v>Ethiopia</v>
          </cell>
        </row>
        <row r="74">
          <cell r="A74" t="str">
            <v>European Community (EU)</v>
          </cell>
        </row>
        <row r="75">
          <cell r="A75" t="str">
            <v>Falkland Islands</v>
          </cell>
        </row>
        <row r="76">
          <cell r="A76" t="str">
            <v>Faroe Islands</v>
          </cell>
        </row>
        <row r="77">
          <cell r="A77" t="str">
            <v>Fiji</v>
          </cell>
        </row>
        <row r="78">
          <cell r="A78" t="str">
            <v>Finland</v>
          </cell>
        </row>
        <row r="79">
          <cell r="A79" t="str">
            <v>France</v>
          </cell>
        </row>
        <row r="80">
          <cell r="A80" t="str">
            <v>French Antilles</v>
          </cell>
        </row>
        <row r="81">
          <cell r="A81" t="str">
            <v>French Antilles</v>
          </cell>
        </row>
        <row r="82">
          <cell r="A82" t="str">
            <v>French Guiana</v>
          </cell>
        </row>
        <row r="83">
          <cell r="A83" t="str">
            <v>French Polynesia</v>
          </cell>
        </row>
        <row r="84">
          <cell r="A84" t="str">
            <v>French Southern Territories</v>
          </cell>
        </row>
        <row r="85">
          <cell r="A85" t="str">
            <v>Gabon</v>
          </cell>
        </row>
        <row r="86">
          <cell r="A86" t="str">
            <v>Gambia</v>
          </cell>
        </row>
        <row r="87">
          <cell r="A87" t="str">
            <v>Georgia</v>
          </cell>
        </row>
        <row r="88">
          <cell r="A88" t="str">
            <v>Germany</v>
          </cell>
        </row>
        <row r="89">
          <cell r="A89" t="str">
            <v>Ghana</v>
          </cell>
        </row>
        <row r="90">
          <cell r="A90" t="str">
            <v>Gibraltar</v>
          </cell>
        </row>
        <row r="91">
          <cell r="A91" t="str">
            <v>Greece</v>
          </cell>
        </row>
        <row r="92">
          <cell r="A92" t="str">
            <v>Greenland</v>
          </cell>
        </row>
        <row r="93">
          <cell r="A93" t="str">
            <v>Grenada</v>
          </cell>
        </row>
        <row r="94">
          <cell r="A94" t="str">
            <v>Guadeloupe</v>
          </cell>
        </row>
        <row r="95">
          <cell r="A95" t="str">
            <v>Guam</v>
          </cell>
        </row>
        <row r="96">
          <cell r="A96" t="str">
            <v>Guatemala</v>
          </cell>
        </row>
        <row r="97">
          <cell r="A97" t="str">
            <v>Guinea</v>
          </cell>
        </row>
        <row r="98">
          <cell r="A98" t="str">
            <v>Guinea-Bissau</v>
          </cell>
        </row>
        <row r="99">
          <cell r="A99" t="str">
            <v>Guyana</v>
          </cell>
        </row>
        <row r="100">
          <cell r="A100" t="str">
            <v>Haiti</v>
          </cell>
        </row>
        <row r="101">
          <cell r="A101" t="str">
            <v>Heard Island And Mcdonald Islands</v>
          </cell>
        </row>
        <row r="102">
          <cell r="A102" t="str">
            <v>Holland</v>
          </cell>
        </row>
        <row r="103">
          <cell r="A103" t="str">
            <v>Holy See (Vatican City State)</v>
          </cell>
        </row>
        <row r="104">
          <cell r="A104" t="str">
            <v>Honduras</v>
          </cell>
        </row>
        <row r="105">
          <cell r="A105" t="str">
            <v>Hong Kong</v>
          </cell>
        </row>
        <row r="106">
          <cell r="A106" t="str">
            <v>Hungary</v>
          </cell>
        </row>
        <row r="107">
          <cell r="A107" t="str">
            <v>Iceland</v>
          </cell>
        </row>
        <row r="108">
          <cell r="A108" t="str">
            <v>India</v>
          </cell>
        </row>
        <row r="109">
          <cell r="A109" t="str">
            <v>Indonesia</v>
          </cell>
        </row>
        <row r="110">
          <cell r="A110" t="str">
            <v>Iran, Islamic Republic Of</v>
          </cell>
        </row>
        <row r="111">
          <cell r="A111" t="str">
            <v>Iraq</v>
          </cell>
        </row>
        <row r="112">
          <cell r="A112" t="str">
            <v>Ireland</v>
          </cell>
        </row>
        <row r="113">
          <cell r="A113" t="str">
            <v>Israel</v>
          </cell>
        </row>
        <row r="114">
          <cell r="A114" t="str">
            <v>Italy</v>
          </cell>
        </row>
        <row r="115">
          <cell r="A115" t="str">
            <v>Jamaica</v>
          </cell>
        </row>
        <row r="116">
          <cell r="A116" t="str">
            <v>Japan</v>
          </cell>
        </row>
        <row r="117">
          <cell r="A117" t="str">
            <v>Jersey Channel Island</v>
          </cell>
        </row>
        <row r="118">
          <cell r="A118" t="str">
            <v>Jordan</v>
          </cell>
        </row>
        <row r="119">
          <cell r="A119" t="str">
            <v>Kazakhstan</v>
          </cell>
        </row>
        <row r="120">
          <cell r="A120" t="str">
            <v>Kenya</v>
          </cell>
        </row>
        <row r="121">
          <cell r="A121" t="str">
            <v>Kiribati</v>
          </cell>
        </row>
        <row r="122">
          <cell r="A122" t="str">
            <v>Korea, Democratic People's Republic of (N. Korea)</v>
          </cell>
        </row>
        <row r="123">
          <cell r="A123" t="str">
            <v>Korea, Republic of (South Korea)</v>
          </cell>
        </row>
        <row r="124">
          <cell r="A124" t="str">
            <v>Kuwait</v>
          </cell>
        </row>
        <row r="125">
          <cell r="A125" t="str">
            <v>Kyrgyzstan</v>
          </cell>
        </row>
        <row r="126">
          <cell r="A126" t="str">
            <v>Laos</v>
          </cell>
        </row>
        <row r="127">
          <cell r="A127" t="str">
            <v>Latvia</v>
          </cell>
        </row>
        <row r="128">
          <cell r="A128" t="str">
            <v>Lebanon</v>
          </cell>
        </row>
        <row r="129">
          <cell r="A129" t="str">
            <v>Lesotho</v>
          </cell>
        </row>
        <row r="130">
          <cell r="A130" t="str">
            <v>Liberia</v>
          </cell>
        </row>
        <row r="131">
          <cell r="A131" t="str">
            <v>Libya</v>
          </cell>
        </row>
        <row r="132">
          <cell r="A132" t="str">
            <v>Liechtenstein</v>
          </cell>
        </row>
        <row r="133">
          <cell r="A133" t="str">
            <v>Lithuania</v>
          </cell>
        </row>
        <row r="134">
          <cell r="A134" t="str">
            <v>Luxembourg</v>
          </cell>
        </row>
        <row r="135">
          <cell r="A135" t="str">
            <v>Macao</v>
          </cell>
        </row>
        <row r="136">
          <cell r="A136" t="str">
            <v>Macedonia</v>
          </cell>
        </row>
        <row r="137">
          <cell r="A137" t="str">
            <v>Madagascar</v>
          </cell>
        </row>
        <row r="138">
          <cell r="A138" t="str">
            <v>Malawi</v>
          </cell>
        </row>
        <row r="139">
          <cell r="A139" t="str">
            <v>Malaysia</v>
          </cell>
        </row>
        <row r="140">
          <cell r="A140" t="str">
            <v>Maldives</v>
          </cell>
        </row>
        <row r="141">
          <cell r="A141" t="str">
            <v>Mali</v>
          </cell>
        </row>
        <row r="142">
          <cell r="A142" t="str">
            <v>Malta</v>
          </cell>
        </row>
        <row r="143">
          <cell r="A143" t="str">
            <v>Mariana Islands</v>
          </cell>
        </row>
        <row r="144">
          <cell r="A144" t="str">
            <v>Marshall Islands</v>
          </cell>
        </row>
        <row r="145">
          <cell r="A145" t="str">
            <v>Martinique</v>
          </cell>
        </row>
        <row r="146">
          <cell r="A146" t="str">
            <v>Mauritania</v>
          </cell>
        </row>
        <row r="147">
          <cell r="A147" t="str">
            <v>Mauritius</v>
          </cell>
        </row>
        <row r="148">
          <cell r="A148" t="str">
            <v>Mayotte</v>
          </cell>
        </row>
        <row r="149">
          <cell r="A149" t="str">
            <v>Mexico</v>
          </cell>
        </row>
        <row r="150">
          <cell r="A150" t="str">
            <v>Micronesia</v>
          </cell>
        </row>
        <row r="151">
          <cell r="A151" t="str">
            <v>Moldova, Republic Of</v>
          </cell>
        </row>
        <row r="152">
          <cell r="A152" t="str">
            <v>Monaco</v>
          </cell>
        </row>
        <row r="153">
          <cell r="A153" t="str">
            <v>Mongolia</v>
          </cell>
        </row>
        <row r="154">
          <cell r="A154" t="str">
            <v>Montserrat</v>
          </cell>
        </row>
        <row r="155">
          <cell r="A155" t="str">
            <v>Morocco</v>
          </cell>
        </row>
        <row r="156">
          <cell r="A156" t="str">
            <v>Mozambique</v>
          </cell>
        </row>
        <row r="157">
          <cell r="A157" t="str">
            <v>Myanmar</v>
          </cell>
        </row>
        <row r="158">
          <cell r="A158" t="str">
            <v>Namibia</v>
          </cell>
        </row>
        <row r="159">
          <cell r="A159" t="str">
            <v>Nauru</v>
          </cell>
        </row>
        <row r="160">
          <cell r="A160" t="str">
            <v>Nepal</v>
          </cell>
        </row>
        <row r="161">
          <cell r="A161" t="str">
            <v>Netherlands</v>
          </cell>
        </row>
        <row r="162">
          <cell r="A162" t="str">
            <v>Netherlands Antilles</v>
          </cell>
        </row>
        <row r="163">
          <cell r="A163" t="str">
            <v>New Caledonia</v>
          </cell>
        </row>
        <row r="164">
          <cell r="A164" t="str">
            <v>New Zealand</v>
          </cell>
        </row>
        <row r="165">
          <cell r="A165" t="str">
            <v>Nicaragua</v>
          </cell>
        </row>
        <row r="166">
          <cell r="A166" t="str">
            <v>Niger</v>
          </cell>
        </row>
        <row r="167">
          <cell r="A167" t="str">
            <v>Nigeria</v>
          </cell>
        </row>
        <row r="168">
          <cell r="A168" t="str">
            <v>Niue</v>
          </cell>
        </row>
        <row r="169">
          <cell r="A169" t="str">
            <v>Norfolk Island</v>
          </cell>
        </row>
        <row r="170">
          <cell r="A170" t="str">
            <v>Northern Mariana Islands</v>
          </cell>
        </row>
        <row r="171">
          <cell r="A171" t="str">
            <v>Norway</v>
          </cell>
        </row>
        <row r="172">
          <cell r="A172" t="str">
            <v>Oman</v>
          </cell>
        </row>
        <row r="173">
          <cell r="A173" t="str">
            <v>Pakistan</v>
          </cell>
        </row>
        <row r="174">
          <cell r="A174" t="str">
            <v>Palau</v>
          </cell>
        </row>
        <row r="175">
          <cell r="A175" t="str">
            <v>Palestinian Territory, Occupied</v>
          </cell>
        </row>
        <row r="176">
          <cell r="A176" t="str">
            <v>Panama</v>
          </cell>
        </row>
        <row r="177">
          <cell r="A177" t="str">
            <v>Papua New Guinea</v>
          </cell>
        </row>
        <row r="178">
          <cell r="A178" t="str">
            <v>Paraguay</v>
          </cell>
        </row>
        <row r="179">
          <cell r="A179" t="str">
            <v>Peru</v>
          </cell>
        </row>
        <row r="180">
          <cell r="A180" t="str">
            <v>Philippines</v>
          </cell>
        </row>
        <row r="181">
          <cell r="A181" t="str">
            <v>Pitcairn</v>
          </cell>
        </row>
        <row r="182">
          <cell r="A182" t="str">
            <v>Poland</v>
          </cell>
        </row>
        <row r="183">
          <cell r="A183" t="str">
            <v>Portugal</v>
          </cell>
        </row>
        <row r="184">
          <cell r="A184" t="str">
            <v>Puerto Rico</v>
          </cell>
        </row>
        <row r="185">
          <cell r="A185" t="str">
            <v>Qatar</v>
          </cell>
        </row>
        <row r="186">
          <cell r="A186" t="str">
            <v>Reunion</v>
          </cell>
        </row>
        <row r="187">
          <cell r="A187" t="str">
            <v>Romania</v>
          </cell>
        </row>
        <row r="188">
          <cell r="A188" t="str">
            <v>Russia</v>
          </cell>
        </row>
        <row r="189">
          <cell r="A189" t="str">
            <v>Rwanda</v>
          </cell>
        </row>
        <row r="190">
          <cell r="A190" t="str">
            <v>Saint Helena</v>
          </cell>
        </row>
        <row r="191">
          <cell r="A191" t="str">
            <v>Saint Kitts And Nevis</v>
          </cell>
        </row>
        <row r="192">
          <cell r="A192" t="str">
            <v>Saint Lucia</v>
          </cell>
        </row>
        <row r="193">
          <cell r="A193" t="str">
            <v>Saint Pierre And Miquelon</v>
          </cell>
        </row>
        <row r="194">
          <cell r="A194" t="str">
            <v>Saint Vincent And The Grenadines</v>
          </cell>
        </row>
        <row r="195">
          <cell r="A195" t="str">
            <v>Saipan</v>
          </cell>
        </row>
        <row r="196">
          <cell r="A196" t="str">
            <v>Samoa</v>
          </cell>
        </row>
        <row r="197">
          <cell r="A197" t="str">
            <v>San Marino</v>
          </cell>
        </row>
        <row r="198">
          <cell r="A198" t="str">
            <v>Sao Tome And Principe</v>
          </cell>
        </row>
        <row r="199">
          <cell r="A199" t="str">
            <v>Saudi Arabia</v>
          </cell>
        </row>
        <row r="200">
          <cell r="A200" t="str">
            <v>Senegal</v>
          </cell>
        </row>
        <row r="201">
          <cell r="A201" t="str">
            <v>Serbia And Montenegro</v>
          </cell>
        </row>
        <row r="202">
          <cell r="A202" t="str">
            <v>Seychelles</v>
          </cell>
        </row>
        <row r="203">
          <cell r="A203" t="str">
            <v>Sierra Leone</v>
          </cell>
        </row>
        <row r="204">
          <cell r="A204" t="str">
            <v>Singapore</v>
          </cell>
        </row>
        <row r="205">
          <cell r="A205" t="str">
            <v>Slovakia</v>
          </cell>
        </row>
        <row r="206">
          <cell r="A206" t="str">
            <v>Slovenia</v>
          </cell>
        </row>
        <row r="207">
          <cell r="A207" t="str">
            <v>Solomon Islands</v>
          </cell>
        </row>
        <row r="208">
          <cell r="A208" t="str">
            <v>Somalia</v>
          </cell>
        </row>
        <row r="209">
          <cell r="A209" t="str">
            <v>South Africa</v>
          </cell>
        </row>
        <row r="210">
          <cell r="A210" t="str">
            <v>South Georgia And The South Sandwich Islands</v>
          </cell>
        </row>
        <row r="211">
          <cell r="A211" t="str">
            <v>Spain</v>
          </cell>
        </row>
        <row r="212">
          <cell r="A212" t="str">
            <v>Sri Lanka</v>
          </cell>
        </row>
        <row r="213">
          <cell r="A213" t="str">
            <v>St. Vincent</v>
          </cell>
        </row>
        <row r="214">
          <cell r="A214" t="str">
            <v>Sudan</v>
          </cell>
        </row>
        <row r="215">
          <cell r="A215" t="str">
            <v>Sudan</v>
          </cell>
        </row>
        <row r="216">
          <cell r="A216" t="str">
            <v>Suriname</v>
          </cell>
        </row>
        <row r="217">
          <cell r="A217" t="str">
            <v>Svalbard And Jan Mayen</v>
          </cell>
        </row>
        <row r="218">
          <cell r="A218" t="str">
            <v>Swaziland</v>
          </cell>
        </row>
        <row r="219">
          <cell r="A219" t="str">
            <v>Sweden</v>
          </cell>
        </row>
        <row r="220">
          <cell r="A220" t="str">
            <v>Switzerland</v>
          </cell>
        </row>
        <row r="221">
          <cell r="A221" t="str">
            <v>Syrian Arab Republic</v>
          </cell>
        </row>
        <row r="222">
          <cell r="A222" t="str">
            <v>Taiwan</v>
          </cell>
        </row>
        <row r="223">
          <cell r="A223" t="str">
            <v>Tajikistan</v>
          </cell>
        </row>
        <row r="224">
          <cell r="A224" t="str">
            <v>Tanzania, United Republic Of</v>
          </cell>
        </row>
        <row r="225">
          <cell r="A225" t="str">
            <v>Thailand</v>
          </cell>
        </row>
        <row r="226">
          <cell r="A226" t="str">
            <v>Timor-Leste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Tunisia</v>
          </cell>
        </row>
        <row r="232">
          <cell r="A232" t="str">
            <v>Turkey</v>
          </cell>
        </row>
        <row r="233">
          <cell r="A233" t="str">
            <v>Turkmenistan</v>
          </cell>
        </row>
        <row r="234">
          <cell r="A234" t="str">
            <v>Turks And Caicos Islands</v>
          </cell>
        </row>
        <row r="235">
          <cell r="A235" t="str">
            <v>Tuvalu</v>
          </cell>
        </row>
        <row r="236">
          <cell r="A236" t="str">
            <v>Uganda</v>
          </cell>
        </row>
        <row r="237">
          <cell r="A237" t="str">
            <v>Ukraine</v>
          </cell>
        </row>
        <row r="238">
          <cell r="A238" t="str">
            <v>United Arab Emirates</v>
          </cell>
        </row>
        <row r="239">
          <cell r="A239" t="str">
            <v>United Kingdom</v>
          </cell>
        </row>
        <row r="240">
          <cell r="A240" t="str">
            <v>United States</v>
          </cell>
        </row>
        <row r="241">
          <cell r="A241" t="str">
            <v>United States Minor Outlying Islands</v>
          </cell>
        </row>
        <row r="242">
          <cell r="A242" t="str">
            <v>Unknown</v>
          </cell>
        </row>
        <row r="243">
          <cell r="A243" t="str">
            <v>Uruguay</v>
          </cell>
        </row>
        <row r="244">
          <cell r="A244" t="str">
            <v>US Commonwealth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Virgin Islands, British</v>
          </cell>
        </row>
        <row r="251">
          <cell r="A251" t="str">
            <v>Virgin Islands, U.S.</v>
          </cell>
        </row>
        <row r="252">
          <cell r="A252" t="str">
            <v>Wallis And Futuna</v>
          </cell>
        </row>
        <row r="253">
          <cell r="A253" t="str">
            <v>Western Sahara</v>
          </cell>
        </row>
        <row r="254">
          <cell r="A254" t="str">
            <v>Yemen</v>
          </cell>
        </row>
        <row r="255">
          <cell r="A255" t="str">
            <v>Yugoslavia</v>
          </cell>
        </row>
        <row r="256">
          <cell r="A256" t="str">
            <v>Zaire</v>
          </cell>
        </row>
        <row r="257">
          <cell r="A257" t="str">
            <v>Zambia</v>
          </cell>
        </row>
        <row r="258">
          <cell r="A258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7C03-024E-4D4F-A135-510053C90267}">
  <sheetPr>
    <pageSetUpPr fitToPage="1"/>
  </sheetPr>
  <dimension ref="A1:N159"/>
  <sheetViews>
    <sheetView tabSelected="1" zoomScaleNormal="100" workbookViewId="0">
      <pane ySplit="8" topLeftCell="A9" activePane="bottomLeft" state="frozen"/>
      <selection pane="bottomLeft" activeCell="D8" sqref="D8"/>
    </sheetView>
  </sheetViews>
  <sheetFormatPr defaultColWidth="0" defaultRowHeight="14.5" customHeight="1" zeroHeight="1" x14ac:dyDescent="0.35"/>
  <cols>
    <col min="1" max="1" width="13.453125" customWidth="1"/>
    <col min="2" max="2" width="13.453125" hidden="1" customWidth="1"/>
    <col min="3" max="3" width="16.453125" customWidth="1"/>
    <col min="4" max="4" width="35.81640625" customWidth="1"/>
    <col min="5" max="5" width="27.81640625" customWidth="1"/>
    <col min="6" max="6" width="19.54296875" customWidth="1"/>
    <col min="7" max="7" width="35" customWidth="1"/>
    <col min="8" max="8" width="13.1796875" customWidth="1"/>
    <col min="9" max="10" width="15.54296875" customWidth="1"/>
    <col min="11" max="11" width="18.453125" customWidth="1"/>
    <col min="12" max="14" width="0" hidden="1" customWidth="1"/>
    <col min="15" max="16384" width="8.81640625" hidden="1"/>
  </cols>
  <sheetData>
    <row r="1" spans="1:11" hidden="1" x14ac:dyDescent="0.35">
      <c r="A1" s="1" t="s">
        <v>0</v>
      </c>
      <c r="B1" s="2"/>
      <c r="C1" s="3">
        <f>COUNT(A9:A192)</f>
        <v>151</v>
      </c>
      <c r="D1" s="4"/>
      <c r="E1" s="5"/>
      <c r="F1" s="5"/>
    </row>
    <row r="2" spans="1:11" hidden="1" x14ac:dyDescent="0.35">
      <c r="C2" s="1" t="s">
        <v>1</v>
      </c>
      <c r="D2">
        <f>COUNTIF(F8:F159,$C$2)</f>
        <v>41</v>
      </c>
    </row>
    <row r="3" spans="1:11" hidden="1" x14ac:dyDescent="0.35">
      <c r="C3" s="1" t="s">
        <v>2</v>
      </c>
      <c r="D3">
        <f>COUNTIF(F8:F159,$C$3)</f>
        <v>19</v>
      </c>
    </row>
    <row r="4" spans="1:11" hidden="1" x14ac:dyDescent="0.35">
      <c r="C4" s="1" t="s">
        <v>3</v>
      </c>
      <c r="D4">
        <f>COUNTIF(F8:F159,$C$4)</f>
        <v>61</v>
      </c>
    </row>
    <row r="5" spans="1:11" hidden="1" x14ac:dyDescent="0.35">
      <c r="C5" s="6" t="s">
        <v>4</v>
      </c>
      <c r="D5">
        <f>COUNTIF(F8:F159,$C$5)</f>
        <v>30</v>
      </c>
    </row>
    <row r="6" spans="1:11" ht="41.25" customHeight="1" x14ac:dyDescent="0.75">
      <c r="A6" s="16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38.5" customHeight="1" x14ac:dyDescent="0.35">
      <c r="A7" s="17" t="s">
        <v>408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ht="46.75" customHeight="1" x14ac:dyDescent="0.3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8" t="s">
        <v>12</v>
      </c>
      <c r="H8" s="9" t="s">
        <v>13</v>
      </c>
      <c r="I8" s="10" t="s">
        <v>14</v>
      </c>
      <c r="J8" s="11" t="s">
        <v>15</v>
      </c>
      <c r="K8" s="10" t="s">
        <v>407</v>
      </c>
    </row>
    <row r="9" spans="1:11" ht="39" customHeight="1" x14ac:dyDescent="0.35">
      <c r="A9" s="12">
        <v>94393</v>
      </c>
      <c r="B9" s="12" t="s">
        <v>406</v>
      </c>
      <c r="C9" s="12" t="s">
        <v>19</v>
      </c>
      <c r="D9" s="12" t="s">
        <v>18</v>
      </c>
      <c r="E9" s="12" t="s">
        <v>20</v>
      </c>
      <c r="F9" s="12" t="s">
        <v>4</v>
      </c>
      <c r="G9" s="12" t="s">
        <v>21</v>
      </c>
      <c r="H9" s="12">
        <v>250</v>
      </c>
      <c r="I9" s="14">
        <v>0.75</v>
      </c>
      <c r="J9" s="14" t="s">
        <v>17</v>
      </c>
      <c r="K9" s="13" t="s">
        <v>17</v>
      </c>
    </row>
    <row r="10" spans="1:11" ht="39" customHeight="1" x14ac:dyDescent="0.35">
      <c r="A10" s="12">
        <v>14583</v>
      </c>
      <c r="B10" s="12" t="s">
        <v>406</v>
      </c>
      <c r="C10" s="12" t="s">
        <v>19</v>
      </c>
      <c r="D10" s="12" t="s">
        <v>22</v>
      </c>
      <c r="E10" s="12" t="s">
        <v>23</v>
      </c>
      <c r="F10" s="12" t="s">
        <v>3</v>
      </c>
      <c r="G10" s="12" t="s">
        <v>24</v>
      </c>
      <c r="H10" s="13">
        <v>4569</v>
      </c>
      <c r="I10" s="14">
        <v>0.9</v>
      </c>
      <c r="J10" s="14" t="s">
        <v>16</v>
      </c>
      <c r="K10" s="13" t="s">
        <v>17</v>
      </c>
    </row>
    <row r="11" spans="1:11" ht="39" customHeight="1" x14ac:dyDescent="0.35">
      <c r="A11" s="12">
        <v>50017</v>
      </c>
      <c r="B11" s="12" t="s">
        <v>406</v>
      </c>
      <c r="C11" s="12" t="s">
        <v>19</v>
      </c>
      <c r="D11" s="12" t="s">
        <v>25</v>
      </c>
      <c r="E11" s="12" t="s">
        <v>23</v>
      </c>
      <c r="F11" s="12" t="s">
        <v>3</v>
      </c>
      <c r="G11" s="12" t="s">
        <v>26</v>
      </c>
      <c r="H11" s="12">
        <v>3879</v>
      </c>
      <c r="I11" s="14">
        <v>0.92</v>
      </c>
      <c r="J11" s="14" t="s">
        <v>17</v>
      </c>
      <c r="K11" s="13" t="s">
        <v>17</v>
      </c>
    </row>
    <row r="12" spans="1:11" ht="39" customHeight="1" x14ac:dyDescent="0.35">
      <c r="A12" s="12">
        <v>62021</v>
      </c>
      <c r="B12" s="12" t="s">
        <v>406</v>
      </c>
      <c r="C12" s="12" t="s">
        <v>19</v>
      </c>
      <c r="D12" s="12" t="s">
        <v>27</v>
      </c>
      <c r="E12" s="12" t="s">
        <v>28</v>
      </c>
      <c r="F12" s="12" t="s">
        <v>3</v>
      </c>
      <c r="G12" s="12" t="s">
        <v>29</v>
      </c>
      <c r="H12" s="12">
        <v>1192</v>
      </c>
      <c r="I12" s="14">
        <v>0.72</v>
      </c>
      <c r="J12" s="14" t="s">
        <v>17</v>
      </c>
      <c r="K12" s="13" t="s">
        <v>17</v>
      </c>
    </row>
    <row r="13" spans="1:11" ht="39" customHeight="1" x14ac:dyDescent="0.35">
      <c r="A13" s="12">
        <v>59057</v>
      </c>
      <c r="B13" s="12" t="s">
        <v>406</v>
      </c>
      <c r="C13" s="12" t="s">
        <v>19</v>
      </c>
      <c r="D13" s="12" t="s">
        <v>30</v>
      </c>
      <c r="E13" s="12" t="s">
        <v>31</v>
      </c>
      <c r="F13" s="12" t="s">
        <v>3</v>
      </c>
      <c r="G13" s="12" t="s">
        <v>32</v>
      </c>
      <c r="H13" s="12">
        <v>2208</v>
      </c>
      <c r="I13" s="14">
        <v>0.9</v>
      </c>
      <c r="J13" s="14" t="s">
        <v>17</v>
      </c>
      <c r="K13" s="13" t="s">
        <v>17</v>
      </c>
    </row>
    <row r="14" spans="1:11" ht="39" customHeight="1" x14ac:dyDescent="0.35">
      <c r="A14" s="12">
        <v>68662</v>
      </c>
      <c r="B14" s="12" t="s">
        <v>406</v>
      </c>
      <c r="C14" s="12" t="s">
        <v>33</v>
      </c>
      <c r="D14" s="12" t="s">
        <v>34</v>
      </c>
      <c r="E14" s="12" t="s">
        <v>35</v>
      </c>
      <c r="F14" s="12" t="s">
        <v>2</v>
      </c>
      <c r="G14" s="12" t="s">
        <v>36</v>
      </c>
      <c r="H14" s="13">
        <v>20</v>
      </c>
      <c r="I14" s="14">
        <v>0.5</v>
      </c>
      <c r="J14" s="14" t="s">
        <v>17</v>
      </c>
      <c r="K14" s="13" t="s">
        <v>17</v>
      </c>
    </row>
    <row r="15" spans="1:11" ht="39" customHeight="1" x14ac:dyDescent="0.35">
      <c r="A15" s="12">
        <v>89714</v>
      </c>
      <c r="B15" s="12" t="s">
        <v>406</v>
      </c>
      <c r="C15" s="12" t="s">
        <v>33</v>
      </c>
      <c r="D15" s="12" t="s">
        <v>37</v>
      </c>
      <c r="E15" s="12" t="s">
        <v>35</v>
      </c>
      <c r="F15" s="12" t="s">
        <v>4</v>
      </c>
      <c r="G15" s="12" t="s">
        <v>38</v>
      </c>
      <c r="H15" s="12">
        <v>4</v>
      </c>
      <c r="I15" s="14">
        <v>0.5</v>
      </c>
      <c r="J15" s="14" t="s">
        <v>17</v>
      </c>
      <c r="K15" s="13" t="s">
        <v>17</v>
      </c>
    </row>
    <row r="16" spans="1:11" ht="39" customHeight="1" x14ac:dyDescent="0.35">
      <c r="A16" s="12">
        <v>34556</v>
      </c>
      <c r="B16" s="12" t="s">
        <v>406</v>
      </c>
      <c r="C16" s="12" t="s">
        <v>33</v>
      </c>
      <c r="D16" s="12" t="s">
        <v>39</v>
      </c>
      <c r="E16" s="12" t="s">
        <v>35</v>
      </c>
      <c r="F16" s="12" t="s">
        <v>2</v>
      </c>
      <c r="G16" s="12" t="s">
        <v>40</v>
      </c>
      <c r="H16" s="12">
        <v>170</v>
      </c>
      <c r="I16" s="14">
        <v>0.35</v>
      </c>
      <c r="J16" s="14" t="s">
        <v>16</v>
      </c>
      <c r="K16" s="13" t="s">
        <v>17</v>
      </c>
    </row>
    <row r="17" spans="1:11" ht="39" customHeight="1" x14ac:dyDescent="0.35">
      <c r="A17" s="12">
        <v>15482</v>
      </c>
      <c r="B17" s="12" t="s">
        <v>406</v>
      </c>
      <c r="C17" s="12" t="s">
        <v>33</v>
      </c>
      <c r="D17" s="12" t="s">
        <v>41</v>
      </c>
      <c r="E17" s="12" t="s">
        <v>35</v>
      </c>
      <c r="F17" s="12" t="s">
        <v>2</v>
      </c>
      <c r="G17" s="12" t="s">
        <v>42</v>
      </c>
      <c r="H17" s="12">
        <v>250</v>
      </c>
      <c r="I17" s="14">
        <v>0.9</v>
      </c>
      <c r="J17" s="14" t="s">
        <v>17</v>
      </c>
      <c r="K17" s="13" t="s">
        <v>17</v>
      </c>
    </row>
    <row r="18" spans="1:11" ht="39" customHeight="1" x14ac:dyDescent="0.35">
      <c r="A18" s="12">
        <v>49590</v>
      </c>
      <c r="B18" s="12" t="s">
        <v>406</v>
      </c>
      <c r="C18" s="12" t="s">
        <v>33</v>
      </c>
      <c r="D18" s="12" t="s">
        <v>43</v>
      </c>
      <c r="E18" s="12" t="s">
        <v>35</v>
      </c>
      <c r="F18" s="12" t="s">
        <v>2</v>
      </c>
      <c r="G18" s="12" t="s">
        <v>44</v>
      </c>
      <c r="H18" s="13">
        <v>5</v>
      </c>
      <c r="I18" s="14">
        <v>0.5</v>
      </c>
      <c r="J18" s="14" t="s">
        <v>17</v>
      </c>
      <c r="K18" s="13" t="s">
        <v>17</v>
      </c>
    </row>
    <row r="19" spans="1:11" ht="39" customHeight="1" x14ac:dyDescent="0.35">
      <c r="A19" s="12">
        <v>75966</v>
      </c>
      <c r="B19" s="12" t="s">
        <v>45</v>
      </c>
      <c r="C19" s="12" t="s">
        <v>46</v>
      </c>
      <c r="D19" s="12" t="s">
        <v>409</v>
      </c>
      <c r="E19" s="12" t="s">
        <v>35</v>
      </c>
      <c r="F19" s="12" t="s">
        <v>4</v>
      </c>
      <c r="G19" s="12" t="s">
        <v>47</v>
      </c>
      <c r="H19" s="13">
        <v>937</v>
      </c>
      <c r="I19" s="14">
        <v>0.76</v>
      </c>
      <c r="J19" s="14" t="s">
        <v>16</v>
      </c>
      <c r="K19" s="14" t="s">
        <v>17</v>
      </c>
    </row>
    <row r="20" spans="1:11" ht="39" customHeight="1" x14ac:dyDescent="0.35">
      <c r="A20" s="12">
        <v>60862</v>
      </c>
      <c r="B20" s="12" t="s">
        <v>406</v>
      </c>
      <c r="C20" s="12" t="s">
        <v>46</v>
      </c>
      <c r="D20" s="12" t="s">
        <v>48</v>
      </c>
      <c r="E20" s="12" t="s">
        <v>35</v>
      </c>
      <c r="F20" s="12" t="s">
        <v>4</v>
      </c>
      <c r="G20" s="12" t="s">
        <v>49</v>
      </c>
      <c r="H20" s="13">
        <v>390</v>
      </c>
      <c r="I20" s="14">
        <v>0.65</v>
      </c>
      <c r="J20" s="14" t="s">
        <v>16</v>
      </c>
      <c r="K20" s="13" t="s">
        <v>17</v>
      </c>
    </row>
    <row r="21" spans="1:11" ht="39" customHeight="1" x14ac:dyDescent="0.35">
      <c r="A21" s="12">
        <v>68323</v>
      </c>
      <c r="B21" s="12" t="s">
        <v>406</v>
      </c>
      <c r="C21" s="12" t="s">
        <v>46</v>
      </c>
      <c r="D21" s="12" t="s">
        <v>50</v>
      </c>
      <c r="E21" s="12" t="s">
        <v>51</v>
      </c>
      <c r="F21" s="12" t="s">
        <v>2</v>
      </c>
      <c r="G21" s="12" t="s">
        <v>52</v>
      </c>
      <c r="H21" s="13">
        <v>69</v>
      </c>
      <c r="I21" s="14">
        <v>0.59</v>
      </c>
      <c r="J21" s="14" t="s">
        <v>16</v>
      </c>
      <c r="K21" s="13" t="s">
        <v>17</v>
      </c>
    </row>
    <row r="22" spans="1:11" ht="39" customHeight="1" x14ac:dyDescent="0.35">
      <c r="A22" s="12">
        <v>67266</v>
      </c>
      <c r="B22" s="12" t="s">
        <v>406</v>
      </c>
      <c r="C22" s="12" t="s">
        <v>46</v>
      </c>
      <c r="D22" s="12" t="s">
        <v>53</v>
      </c>
      <c r="E22" s="12" t="s">
        <v>54</v>
      </c>
      <c r="F22" s="12" t="s">
        <v>3</v>
      </c>
      <c r="G22" s="12" t="s">
        <v>55</v>
      </c>
      <c r="H22" s="13">
        <v>380</v>
      </c>
      <c r="I22" s="14">
        <v>0.71</v>
      </c>
      <c r="J22" s="14" t="s">
        <v>16</v>
      </c>
      <c r="K22" s="13" t="s">
        <v>17</v>
      </c>
    </row>
    <row r="23" spans="1:11" ht="39" customHeight="1" x14ac:dyDescent="0.35">
      <c r="A23" s="12">
        <v>71091</v>
      </c>
      <c r="B23" s="12" t="s">
        <v>406</v>
      </c>
      <c r="C23" s="12" t="s">
        <v>46</v>
      </c>
      <c r="D23" s="12" t="s">
        <v>56</v>
      </c>
      <c r="E23" s="12" t="s">
        <v>57</v>
      </c>
      <c r="F23" s="12" t="s">
        <v>2</v>
      </c>
      <c r="G23" s="12" t="s">
        <v>58</v>
      </c>
      <c r="H23" s="13">
        <v>421</v>
      </c>
      <c r="I23" s="14">
        <v>0.45</v>
      </c>
      <c r="J23" s="14" t="s">
        <v>16</v>
      </c>
      <c r="K23" s="13" t="s">
        <v>17</v>
      </c>
    </row>
    <row r="24" spans="1:11" ht="39" customHeight="1" x14ac:dyDescent="0.35">
      <c r="A24" s="12">
        <v>64871</v>
      </c>
      <c r="B24" s="12" t="s">
        <v>406</v>
      </c>
      <c r="C24" s="12" t="s">
        <v>46</v>
      </c>
      <c r="D24" s="12" t="s">
        <v>60</v>
      </c>
      <c r="E24" s="12" t="s">
        <v>35</v>
      </c>
      <c r="F24" s="12" t="s">
        <v>4</v>
      </c>
      <c r="G24" s="12" t="s">
        <v>61</v>
      </c>
      <c r="H24" s="13">
        <v>112</v>
      </c>
      <c r="I24" s="14">
        <v>0.56999999999999995</v>
      </c>
      <c r="J24" s="14" t="s">
        <v>16</v>
      </c>
      <c r="K24" s="13" t="s">
        <v>17</v>
      </c>
    </row>
    <row r="25" spans="1:11" ht="39" customHeight="1" x14ac:dyDescent="0.35">
      <c r="A25" s="12">
        <v>112089</v>
      </c>
      <c r="B25" s="12" t="s">
        <v>45</v>
      </c>
      <c r="C25" s="12" t="s">
        <v>46</v>
      </c>
      <c r="D25" s="12" t="s">
        <v>62</v>
      </c>
      <c r="E25" s="12" t="s">
        <v>400</v>
      </c>
      <c r="F25" s="12" t="s">
        <v>3</v>
      </c>
      <c r="G25" s="12" t="s">
        <v>63</v>
      </c>
      <c r="H25" s="12">
        <v>198</v>
      </c>
      <c r="I25" s="14">
        <v>0.6</v>
      </c>
      <c r="J25" s="14" t="s">
        <v>17</v>
      </c>
      <c r="K25" s="14" t="s">
        <v>17</v>
      </c>
    </row>
    <row r="26" spans="1:11" ht="39" customHeight="1" x14ac:dyDescent="0.35">
      <c r="A26" s="12">
        <v>93484</v>
      </c>
      <c r="B26" s="12" t="s">
        <v>45</v>
      </c>
      <c r="C26" s="12" t="s">
        <v>46</v>
      </c>
      <c r="D26" s="12" t="s">
        <v>64</v>
      </c>
      <c r="E26" s="12" t="s">
        <v>35</v>
      </c>
      <c r="F26" s="12" t="s">
        <v>4</v>
      </c>
      <c r="G26" s="12" t="s">
        <v>410</v>
      </c>
      <c r="H26" s="13">
        <v>372</v>
      </c>
      <c r="I26" s="14">
        <v>0.94599999999999995</v>
      </c>
      <c r="J26" s="14" t="s">
        <v>16</v>
      </c>
      <c r="K26" s="14" t="s">
        <v>17</v>
      </c>
    </row>
    <row r="27" spans="1:11" ht="39" customHeight="1" x14ac:dyDescent="0.35">
      <c r="A27" s="12">
        <v>26453</v>
      </c>
      <c r="B27" s="12" t="s">
        <v>406</v>
      </c>
      <c r="C27" s="12" t="s">
        <v>46</v>
      </c>
      <c r="D27" s="12" t="s">
        <v>65</v>
      </c>
      <c r="E27" s="12" t="s">
        <v>66</v>
      </c>
      <c r="F27" s="12" t="s">
        <v>1</v>
      </c>
      <c r="G27" s="12" t="s">
        <v>67</v>
      </c>
      <c r="H27" s="13">
        <v>925</v>
      </c>
      <c r="I27" s="14">
        <v>0.46</v>
      </c>
      <c r="J27" s="14" t="s">
        <v>17</v>
      </c>
      <c r="K27" s="13" t="s">
        <v>17</v>
      </c>
    </row>
    <row r="28" spans="1:11" ht="39" customHeight="1" x14ac:dyDescent="0.35">
      <c r="A28" s="12">
        <v>57906</v>
      </c>
      <c r="B28" s="12" t="s">
        <v>406</v>
      </c>
      <c r="C28" s="12" t="s">
        <v>46</v>
      </c>
      <c r="D28" s="12" t="s">
        <v>68</v>
      </c>
      <c r="E28" s="12" t="s">
        <v>68</v>
      </c>
      <c r="F28" s="12" t="s">
        <v>2</v>
      </c>
      <c r="G28" s="12" t="s">
        <v>69</v>
      </c>
      <c r="H28" s="13">
        <v>616</v>
      </c>
      <c r="I28" s="14">
        <v>0.41</v>
      </c>
      <c r="J28" s="14" t="s">
        <v>16</v>
      </c>
      <c r="K28" s="13" t="s">
        <v>17</v>
      </c>
    </row>
    <row r="29" spans="1:11" ht="39" customHeight="1" x14ac:dyDescent="0.35">
      <c r="A29" s="12">
        <v>58843</v>
      </c>
      <c r="B29" s="12" t="s">
        <v>406</v>
      </c>
      <c r="C29" s="12" t="s">
        <v>46</v>
      </c>
      <c r="D29" s="12" t="s">
        <v>70</v>
      </c>
      <c r="E29" s="12" t="s">
        <v>35</v>
      </c>
      <c r="F29" s="12" t="s">
        <v>3</v>
      </c>
      <c r="G29" s="12" t="s">
        <v>71</v>
      </c>
      <c r="H29" s="13">
        <v>1234</v>
      </c>
      <c r="I29" s="14">
        <v>0.6</v>
      </c>
      <c r="J29" s="14" t="s">
        <v>16</v>
      </c>
      <c r="K29" s="13" t="s">
        <v>17</v>
      </c>
    </row>
    <row r="30" spans="1:11" ht="39" customHeight="1" x14ac:dyDescent="0.35">
      <c r="A30" s="12">
        <v>35175</v>
      </c>
      <c r="B30" s="12" t="s">
        <v>406</v>
      </c>
      <c r="C30" s="12" t="s">
        <v>46</v>
      </c>
      <c r="D30" s="12" t="s">
        <v>72</v>
      </c>
      <c r="E30" s="12" t="s">
        <v>73</v>
      </c>
      <c r="F30" s="12" t="s">
        <v>3</v>
      </c>
      <c r="G30" s="12" t="s">
        <v>74</v>
      </c>
      <c r="H30" s="13">
        <v>426</v>
      </c>
      <c r="I30" s="14">
        <v>0.53</v>
      </c>
      <c r="J30" s="14" t="s">
        <v>16</v>
      </c>
      <c r="K30" s="13" t="s">
        <v>17</v>
      </c>
    </row>
    <row r="31" spans="1:11" ht="39" customHeight="1" x14ac:dyDescent="0.35">
      <c r="A31" s="12">
        <v>102268</v>
      </c>
      <c r="B31" s="12" t="s">
        <v>406</v>
      </c>
      <c r="C31" s="12" t="s">
        <v>46</v>
      </c>
      <c r="D31" s="12" t="s">
        <v>75</v>
      </c>
      <c r="E31" s="12" t="s">
        <v>76</v>
      </c>
      <c r="F31" s="12" t="s">
        <v>3</v>
      </c>
      <c r="G31" s="12" t="s">
        <v>77</v>
      </c>
      <c r="H31" s="13">
        <v>202</v>
      </c>
      <c r="I31" s="14">
        <v>0.65</v>
      </c>
      <c r="J31" s="14" t="s">
        <v>16</v>
      </c>
      <c r="K31" s="13" t="s">
        <v>17</v>
      </c>
    </row>
    <row r="32" spans="1:11" ht="39" customHeight="1" x14ac:dyDescent="0.35">
      <c r="A32" s="12">
        <v>102334</v>
      </c>
      <c r="B32" s="12" t="s">
        <v>406</v>
      </c>
      <c r="C32" s="12" t="s">
        <v>46</v>
      </c>
      <c r="D32" s="12" t="s">
        <v>78</v>
      </c>
      <c r="E32" s="12" t="s">
        <v>79</v>
      </c>
      <c r="F32" s="12" t="s">
        <v>4</v>
      </c>
      <c r="G32" s="12" t="s">
        <v>80</v>
      </c>
      <c r="H32" s="13">
        <v>99</v>
      </c>
      <c r="I32" s="14">
        <v>0.83</v>
      </c>
      <c r="J32" s="14" t="s">
        <v>16</v>
      </c>
      <c r="K32" s="13" t="s">
        <v>17</v>
      </c>
    </row>
    <row r="33" spans="1:11" ht="39" customHeight="1" x14ac:dyDescent="0.35">
      <c r="A33" s="12">
        <v>23999</v>
      </c>
      <c r="B33" s="12" t="s">
        <v>406</v>
      </c>
      <c r="C33" s="12" t="s">
        <v>46</v>
      </c>
      <c r="D33" s="12" t="s">
        <v>81</v>
      </c>
      <c r="E33" s="12" t="s">
        <v>28</v>
      </c>
      <c r="F33" s="12" t="s">
        <v>3</v>
      </c>
      <c r="G33" s="12" t="s">
        <v>82</v>
      </c>
      <c r="H33" s="13">
        <v>729</v>
      </c>
      <c r="I33" s="14">
        <v>0.77</v>
      </c>
      <c r="J33" s="14" t="s">
        <v>17</v>
      </c>
      <c r="K33" s="13" t="s">
        <v>17</v>
      </c>
    </row>
    <row r="34" spans="1:11" ht="39" customHeight="1" x14ac:dyDescent="0.35">
      <c r="A34" s="12">
        <v>112925</v>
      </c>
      <c r="B34" s="12" t="s">
        <v>45</v>
      </c>
      <c r="C34" s="12" t="s">
        <v>46</v>
      </c>
      <c r="D34" s="12" t="s">
        <v>83</v>
      </c>
      <c r="E34" s="12" t="s">
        <v>35</v>
      </c>
      <c r="F34" s="12" t="s">
        <v>4</v>
      </c>
      <c r="G34" s="12" t="s">
        <v>84</v>
      </c>
      <c r="H34" s="13">
        <v>22</v>
      </c>
      <c r="I34" s="14">
        <v>0.81799999999999995</v>
      </c>
      <c r="J34" s="14" t="s">
        <v>17</v>
      </c>
      <c r="K34" s="14" t="s">
        <v>17</v>
      </c>
    </row>
    <row r="35" spans="1:11" ht="39" customHeight="1" x14ac:dyDescent="0.35">
      <c r="A35" s="12">
        <v>76055</v>
      </c>
      <c r="B35" s="12" t="s">
        <v>406</v>
      </c>
      <c r="C35" s="12" t="s">
        <v>46</v>
      </c>
      <c r="D35" s="12" t="s">
        <v>85</v>
      </c>
      <c r="E35" s="12" t="s">
        <v>35</v>
      </c>
      <c r="F35" s="12" t="s">
        <v>3</v>
      </c>
      <c r="G35" s="12" t="s">
        <v>86</v>
      </c>
      <c r="H35" s="13">
        <v>160</v>
      </c>
      <c r="I35" s="14">
        <v>0.69</v>
      </c>
      <c r="J35" s="14" t="s">
        <v>16</v>
      </c>
      <c r="K35" s="13" t="s">
        <v>17</v>
      </c>
    </row>
    <row r="36" spans="1:11" ht="39" customHeight="1" x14ac:dyDescent="0.35">
      <c r="A36" s="12">
        <v>112679</v>
      </c>
      <c r="B36" s="12" t="s">
        <v>45</v>
      </c>
      <c r="C36" s="12" t="s">
        <v>46</v>
      </c>
      <c r="D36" s="12" t="s">
        <v>87</v>
      </c>
      <c r="E36" s="12" t="s">
        <v>88</v>
      </c>
      <c r="F36" s="12" t="s">
        <v>1</v>
      </c>
      <c r="G36" s="12" t="s">
        <v>89</v>
      </c>
      <c r="H36" s="13">
        <v>495</v>
      </c>
      <c r="I36" s="14">
        <v>0.79500000000000004</v>
      </c>
      <c r="J36" s="14" t="s">
        <v>17</v>
      </c>
      <c r="K36" s="14" t="s">
        <v>17</v>
      </c>
    </row>
    <row r="37" spans="1:11" ht="39" customHeight="1" x14ac:dyDescent="0.35">
      <c r="A37" s="12">
        <v>113362</v>
      </c>
      <c r="B37" s="12" t="s">
        <v>45</v>
      </c>
      <c r="C37" s="12" t="s">
        <v>46</v>
      </c>
      <c r="D37" s="12" t="s">
        <v>90</v>
      </c>
      <c r="E37" s="12" t="s">
        <v>91</v>
      </c>
      <c r="F37" s="12" t="s">
        <v>1</v>
      </c>
      <c r="G37" s="12" t="s">
        <v>92</v>
      </c>
      <c r="H37" s="13">
        <v>308</v>
      </c>
      <c r="I37" s="14">
        <v>0.74</v>
      </c>
      <c r="J37" s="14" t="s">
        <v>16</v>
      </c>
      <c r="K37" s="14" t="s">
        <v>17</v>
      </c>
    </row>
    <row r="38" spans="1:11" ht="39" customHeight="1" x14ac:dyDescent="0.35">
      <c r="A38" s="12">
        <v>26988</v>
      </c>
      <c r="B38" s="12" t="s">
        <v>406</v>
      </c>
      <c r="C38" s="12" t="s">
        <v>46</v>
      </c>
      <c r="D38" s="12" t="s">
        <v>93</v>
      </c>
      <c r="E38" s="12" t="s">
        <v>94</v>
      </c>
      <c r="F38" s="12" t="s">
        <v>4</v>
      </c>
      <c r="G38" s="12" t="s">
        <v>95</v>
      </c>
      <c r="H38" s="13">
        <v>1150</v>
      </c>
      <c r="I38" s="14">
        <v>0.86</v>
      </c>
      <c r="J38" s="14" t="s">
        <v>17</v>
      </c>
      <c r="K38" s="13" t="s">
        <v>17</v>
      </c>
    </row>
    <row r="39" spans="1:11" ht="39" customHeight="1" x14ac:dyDescent="0.35">
      <c r="A39" s="12">
        <v>104131</v>
      </c>
      <c r="B39" s="12" t="s">
        <v>45</v>
      </c>
      <c r="C39" s="12" t="s">
        <v>46</v>
      </c>
      <c r="D39" s="12" t="s">
        <v>96</v>
      </c>
      <c r="E39" s="12" t="s">
        <v>400</v>
      </c>
      <c r="F39" s="12" t="s">
        <v>3</v>
      </c>
      <c r="G39" s="12" t="s">
        <v>97</v>
      </c>
      <c r="H39" s="13">
        <v>159</v>
      </c>
      <c r="I39" s="14">
        <v>0.74</v>
      </c>
      <c r="J39" s="14" t="s">
        <v>16</v>
      </c>
      <c r="K39" s="14" t="s">
        <v>17</v>
      </c>
    </row>
    <row r="40" spans="1:11" ht="39" customHeight="1" x14ac:dyDescent="0.35">
      <c r="A40" s="12">
        <v>84772</v>
      </c>
      <c r="B40" s="12" t="s">
        <v>45</v>
      </c>
      <c r="C40" s="12" t="s">
        <v>46</v>
      </c>
      <c r="D40" s="12" t="s">
        <v>98</v>
      </c>
      <c r="E40" s="12" t="s">
        <v>35</v>
      </c>
      <c r="F40" s="12" t="s">
        <v>4</v>
      </c>
      <c r="G40" s="12" t="s">
        <v>99</v>
      </c>
      <c r="H40" s="12">
        <v>89</v>
      </c>
      <c r="I40" s="14">
        <v>0.72</v>
      </c>
      <c r="J40" s="14" t="s">
        <v>16</v>
      </c>
      <c r="K40" s="14" t="s">
        <v>17</v>
      </c>
    </row>
    <row r="41" spans="1:11" ht="39" customHeight="1" x14ac:dyDescent="0.35">
      <c r="A41" s="12">
        <v>54971</v>
      </c>
      <c r="B41" s="12" t="s">
        <v>406</v>
      </c>
      <c r="C41" s="12" t="s">
        <v>46</v>
      </c>
      <c r="D41" s="12" t="s">
        <v>100</v>
      </c>
      <c r="E41" s="12" t="s">
        <v>101</v>
      </c>
      <c r="F41" s="12" t="s">
        <v>3</v>
      </c>
      <c r="G41" s="12" t="s">
        <v>102</v>
      </c>
      <c r="H41" s="13">
        <v>449</v>
      </c>
      <c r="I41" s="14">
        <v>0.81</v>
      </c>
      <c r="J41" s="14" t="s">
        <v>16</v>
      </c>
      <c r="K41" s="13" t="s">
        <v>17</v>
      </c>
    </row>
    <row r="42" spans="1:11" ht="39" customHeight="1" x14ac:dyDescent="0.35">
      <c r="A42" s="12">
        <v>25211</v>
      </c>
      <c r="B42" s="12" t="s">
        <v>406</v>
      </c>
      <c r="C42" s="12" t="s">
        <v>46</v>
      </c>
      <c r="D42" s="12" t="s">
        <v>103</v>
      </c>
      <c r="E42" s="12" t="s">
        <v>104</v>
      </c>
      <c r="F42" s="12" t="s">
        <v>3</v>
      </c>
      <c r="G42" s="12" t="s">
        <v>105</v>
      </c>
      <c r="H42" s="13">
        <v>1210</v>
      </c>
      <c r="I42" s="14">
        <v>0.56000000000000005</v>
      </c>
      <c r="J42" s="14" t="s">
        <v>16</v>
      </c>
      <c r="K42" s="13" t="s">
        <v>17</v>
      </c>
    </row>
    <row r="43" spans="1:11" ht="39" customHeight="1" x14ac:dyDescent="0.35">
      <c r="A43" s="12">
        <v>61497</v>
      </c>
      <c r="B43" s="12" t="s">
        <v>406</v>
      </c>
      <c r="C43" s="12" t="s">
        <v>46</v>
      </c>
      <c r="D43" s="12" t="s">
        <v>106</v>
      </c>
      <c r="E43" s="12" t="s">
        <v>35</v>
      </c>
      <c r="F43" s="12" t="s">
        <v>2</v>
      </c>
      <c r="G43" s="12" t="s">
        <v>107</v>
      </c>
      <c r="H43" s="13">
        <v>147</v>
      </c>
      <c r="I43" s="14">
        <v>0.59</v>
      </c>
      <c r="J43" s="14" t="s">
        <v>16</v>
      </c>
      <c r="K43" s="13" t="s">
        <v>17</v>
      </c>
    </row>
    <row r="44" spans="1:11" ht="39" customHeight="1" x14ac:dyDescent="0.35">
      <c r="A44" s="15">
        <v>52091</v>
      </c>
      <c r="B44" s="12" t="s">
        <v>406</v>
      </c>
      <c r="C44" s="12" t="s">
        <v>46</v>
      </c>
      <c r="D44" s="12" t="s">
        <v>108</v>
      </c>
      <c r="E44" s="12" t="s">
        <v>109</v>
      </c>
      <c r="F44" s="12" t="s">
        <v>1</v>
      </c>
      <c r="G44" s="12" t="s">
        <v>110</v>
      </c>
      <c r="H44" s="13">
        <v>1303</v>
      </c>
      <c r="I44" s="14">
        <v>0.55000000000000004</v>
      </c>
      <c r="J44" s="14" t="s">
        <v>17</v>
      </c>
      <c r="K44" s="13" t="s">
        <v>17</v>
      </c>
    </row>
    <row r="45" spans="1:11" ht="39" customHeight="1" x14ac:dyDescent="0.35">
      <c r="A45" s="15">
        <v>72515</v>
      </c>
      <c r="B45" s="12" t="s">
        <v>406</v>
      </c>
      <c r="C45" s="12" t="s">
        <v>46</v>
      </c>
      <c r="D45" s="12" t="s">
        <v>111</v>
      </c>
      <c r="E45" s="12" t="s">
        <v>101</v>
      </c>
      <c r="F45" s="12" t="s">
        <v>3</v>
      </c>
      <c r="G45" s="12" t="s">
        <v>112</v>
      </c>
      <c r="H45" s="13">
        <v>322</v>
      </c>
      <c r="I45" s="14">
        <v>0.93</v>
      </c>
      <c r="J45" s="14" t="s">
        <v>16</v>
      </c>
      <c r="K45" s="13" t="s">
        <v>17</v>
      </c>
    </row>
    <row r="46" spans="1:11" ht="39" customHeight="1" x14ac:dyDescent="0.35">
      <c r="A46" s="15">
        <v>18848</v>
      </c>
      <c r="B46" s="12" t="s">
        <v>406</v>
      </c>
      <c r="C46" s="12" t="s">
        <v>46</v>
      </c>
      <c r="D46" s="12" t="s">
        <v>113</v>
      </c>
      <c r="E46" s="12" t="s">
        <v>113</v>
      </c>
      <c r="F46" s="12" t="s">
        <v>3</v>
      </c>
      <c r="G46" s="12" t="s">
        <v>114</v>
      </c>
      <c r="H46" s="13">
        <v>205</v>
      </c>
      <c r="I46" s="14">
        <v>0.7</v>
      </c>
      <c r="J46" s="14" t="s">
        <v>17</v>
      </c>
      <c r="K46" s="13" t="s">
        <v>17</v>
      </c>
    </row>
    <row r="47" spans="1:11" ht="39" customHeight="1" x14ac:dyDescent="0.35">
      <c r="A47" s="12">
        <v>52534</v>
      </c>
      <c r="B47" s="12" t="s">
        <v>406</v>
      </c>
      <c r="C47" s="12" t="s">
        <v>46</v>
      </c>
      <c r="D47" s="12" t="s">
        <v>116</v>
      </c>
      <c r="E47" s="12" t="s">
        <v>115</v>
      </c>
      <c r="F47" s="12" t="s">
        <v>4</v>
      </c>
      <c r="G47" s="12" t="s">
        <v>117</v>
      </c>
      <c r="H47" s="13">
        <v>513</v>
      </c>
      <c r="I47" s="14">
        <v>0.82</v>
      </c>
      <c r="J47" s="14" t="s">
        <v>16</v>
      </c>
      <c r="K47" s="13" t="s">
        <v>17</v>
      </c>
    </row>
    <row r="48" spans="1:11" ht="39" customHeight="1" x14ac:dyDescent="0.35">
      <c r="A48" s="12">
        <v>83485</v>
      </c>
      <c r="B48" s="12" t="s">
        <v>406</v>
      </c>
      <c r="C48" s="12" t="s">
        <v>46</v>
      </c>
      <c r="D48" s="12" t="s">
        <v>118</v>
      </c>
      <c r="E48" s="12" t="s">
        <v>119</v>
      </c>
      <c r="F48" s="12" t="s">
        <v>3</v>
      </c>
      <c r="G48" s="12" t="s">
        <v>120</v>
      </c>
      <c r="H48" s="13">
        <v>3597</v>
      </c>
      <c r="I48" s="14">
        <v>0.7</v>
      </c>
      <c r="J48" s="14" t="s">
        <v>16</v>
      </c>
      <c r="K48" s="13" t="s">
        <v>17</v>
      </c>
    </row>
    <row r="49" spans="1:11" ht="39" customHeight="1" x14ac:dyDescent="0.35">
      <c r="A49" s="12">
        <v>54167</v>
      </c>
      <c r="B49" s="12" t="s">
        <v>45</v>
      </c>
      <c r="C49" s="12" t="s">
        <v>46</v>
      </c>
      <c r="D49" s="12" t="s">
        <v>121</v>
      </c>
      <c r="E49" s="12" t="s">
        <v>109</v>
      </c>
      <c r="F49" s="12" t="s">
        <v>1</v>
      </c>
      <c r="G49" s="12" t="s">
        <v>122</v>
      </c>
      <c r="H49" s="13">
        <v>562</v>
      </c>
      <c r="I49" s="14">
        <v>0.6</v>
      </c>
      <c r="J49" s="14" t="s">
        <v>123</v>
      </c>
      <c r="K49" s="14" t="s">
        <v>17</v>
      </c>
    </row>
    <row r="50" spans="1:11" ht="39" customHeight="1" x14ac:dyDescent="0.35">
      <c r="A50" s="12">
        <v>72322</v>
      </c>
      <c r="B50" s="12" t="s">
        <v>406</v>
      </c>
      <c r="C50" s="12" t="s">
        <v>46</v>
      </c>
      <c r="D50" s="12" t="s">
        <v>124</v>
      </c>
      <c r="E50" s="12" t="s">
        <v>125</v>
      </c>
      <c r="F50" s="12" t="s">
        <v>3</v>
      </c>
      <c r="G50" s="12" t="s">
        <v>126</v>
      </c>
      <c r="H50" s="13">
        <v>5</v>
      </c>
      <c r="I50" s="14">
        <v>0.7</v>
      </c>
      <c r="J50" s="14" t="s">
        <v>17</v>
      </c>
      <c r="K50" s="13" t="s">
        <v>17</v>
      </c>
    </row>
    <row r="51" spans="1:11" ht="39" customHeight="1" x14ac:dyDescent="0.35">
      <c r="A51" s="12">
        <v>94044</v>
      </c>
      <c r="B51" s="12" t="s">
        <v>406</v>
      </c>
      <c r="C51" s="12" t="s">
        <v>46</v>
      </c>
      <c r="D51" s="12" t="s">
        <v>127</v>
      </c>
      <c r="E51" s="12" t="s">
        <v>23</v>
      </c>
      <c r="F51" s="12" t="s">
        <v>3</v>
      </c>
      <c r="G51" s="12" t="s">
        <v>128</v>
      </c>
      <c r="H51" s="13">
        <v>297</v>
      </c>
      <c r="I51" s="14">
        <v>0.87</v>
      </c>
      <c r="J51" s="14" t="s">
        <v>16</v>
      </c>
      <c r="K51" s="13" t="s">
        <v>17</v>
      </c>
    </row>
    <row r="52" spans="1:11" ht="39" customHeight="1" x14ac:dyDescent="0.35">
      <c r="A52" s="12">
        <v>18279</v>
      </c>
      <c r="B52" s="12" t="s">
        <v>45</v>
      </c>
      <c r="C52" s="12" t="s">
        <v>46</v>
      </c>
      <c r="D52" s="12" t="s">
        <v>129</v>
      </c>
      <c r="E52" s="12" t="s">
        <v>23</v>
      </c>
      <c r="F52" s="12" t="s">
        <v>3</v>
      </c>
      <c r="G52" s="12" t="s">
        <v>130</v>
      </c>
      <c r="H52" s="12">
        <v>444</v>
      </c>
      <c r="I52" s="12">
        <v>80</v>
      </c>
      <c r="J52" s="14" t="s">
        <v>17</v>
      </c>
      <c r="K52" s="14" t="s">
        <v>17</v>
      </c>
    </row>
    <row r="53" spans="1:11" ht="39" customHeight="1" x14ac:dyDescent="0.35">
      <c r="A53" s="12">
        <v>86785</v>
      </c>
      <c r="B53" s="12" t="s">
        <v>406</v>
      </c>
      <c r="C53" s="12" t="s">
        <v>46</v>
      </c>
      <c r="D53" s="12" t="s">
        <v>131</v>
      </c>
      <c r="E53" s="12" t="s">
        <v>35</v>
      </c>
      <c r="F53" s="12" t="s">
        <v>3</v>
      </c>
      <c r="G53" s="12" t="s">
        <v>132</v>
      </c>
      <c r="H53" s="13">
        <v>100</v>
      </c>
      <c r="I53" s="14">
        <v>0.6</v>
      </c>
      <c r="J53" s="14" t="s">
        <v>16</v>
      </c>
      <c r="K53" s="13" t="s">
        <v>17</v>
      </c>
    </row>
    <row r="54" spans="1:11" ht="39" customHeight="1" x14ac:dyDescent="0.35">
      <c r="A54" s="15">
        <v>68365</v>
      </c>
      <c r="B54" s="12" t="s">
        <v>406</v>
      </c>
      <c r="C54" s="12" t="s">
        <v>46</v>
      </c>
      <c r="D54" s="12" t="s">
        <v>133</v>
      </c>
      <c r="E54" s="12" t="s">
        <v>134</v>
      </c>
      <c r="F54" s="12" t="s">
        <v>1</v>
      </c>
      <c r="G54" s="12" t="s">
        <v>135</v>
      </c>
      <c r="H54" s="13">
        <v>2963</v>
      </c>
      <c r="I54" s="14">
        <v>0.92</v>
      </c>
      <c r="J54" s="14" t="s">
        <v>16</v>
      </c>
      <c r="K54" s="13" t="s">
        <v>17</v>
      </c>
    </row>
    <row r="55" spans="1:11" ht="39" customHeight="1" x14ac:dyDescent="0.35">
      <c r="A55" s="12">
        <v>68683</v>
      </c>
      <c r="B55" s="12" t="s">
        <v>406</v>
      </c>
      <c r="C55" s="12" t="s">
        <v>46</v>
      </c>
      <c r="D55" s="12" t="s">
        <v>136</v>
      </c>
      <c r="E55" s="12" t="s">
        <v>134</v>
      </c>
      <c r="F55" s="12" t="s">
        <v>1</v>
      </c>
      <c r="G55" s="12" t="s">
        <v>137</v>
      </c>
      <c r="H55" s="13">
        <v>1720</v>
      </c>
      <c r="I55" s="14">
        <v>0.92</v>
      </c>
      <c r="J55" s="14" t="s">
        <v>16</v>
      </c>
      <c r="K55" s="13" t="s">
        <v>17</v>
      </c>
    </row>
    <row r="56" spans="1:11" ht="39" customHeight="1" x14ac:dyDescent="0.35">
      <c r="A56" s="12">
        <v>25737</v>
      </c>
      <c r="B56" s="12" t="s">
        <v>406</v>
      </c>
      <c r="C56" s="12" t="s">
        <v>46</v>
      </c>
      <c r="D56" s="12" t="s">
        <v>138</v>
      </c>
      <c r="E56" s="12" t="s">
        <v>35</v>
      </c>
      <c r="F56" s="12" t="s">
        <v>3</v>
      </c>
      <c r="G56" s="12" t="s">
        <v>139</v>
      </c>
      <c r="H56" s="13">
        <v>74</v>
      </c>
      <c r="I56" s="14">
        <v>0.65</v>
      </c>
      <c r="J56" s="14" t="s">
        <v>16</v>
      </c>
      <c r="K56" s="13" t="s">
        <v>17</v>
      </c>
    </row>
    <row r="57" spans="1:11" ht="39" customHeight="1" x14ac:dyDescent="0.35">
      <c r="A57" s="15">
        <v>60020</v>
      </c>
      <c r="B57" s="12" t="s">
        <v>406</v>
      </c>
      <c r="C57" s="12" t="s">
        <v>46</v>
      </c>
      <c r="D57" s="12" t="s">
        <v>140</v>
      </c>
      <c r="E57" s="12" t="s">
        <v>125</v>
      </c>
      <c r="F57" s="12" t="s">
        <v>3</v>
      </c>
      <c r="G57" s="12" t="s">
        <v>141</v>
      </c>
      <c r="H57" s="13">
        <v>110</v>
      </c>
      <c r="I57" s="14">
        <v>0.6</v>
      </c>
      <c r="J57" s="14" t="s">
        <v>16</v>
      </c>
      <c r="K57" s="13" t="s">
        <v>17</v>
      </c>
    </row>
    <row r="58" spans="1:11" ht="39" customHeight="1" x14ac:dyDescent="0.35">
      <c r="A58" s="12">
        <v>113342</v>
      </c>
      <c r="B58" s="12" t="s">
        <v>45</v>
      </c>
      <c r="C58" s="12" t="s">
        <v>46</v>
      </c>
      <c r="D58" s="12" t="s">
        <v>142</v>
      </c>
      <c r="E58" s="12" t="s">
        <v>385</v>
      </c>
      <c r="F58" s="12" t="s">
        <v>1</v>
      </c>
      <c r="G58" s="12" t="s">
        <v>143</v>
      </c>
      <c r="H58" s="12">
        <v>237</v>
      </c>
      <c r="I58" s="14">
        <v>0.6</v>
      </c>
      <c r="J58" s="14" t="s">
        <v>17</v>
      </c>
      <c r="K58" s="14" t="s">
        <v>17</v>
      </c>
    </row>
    <row r="59" spans="1:11" ht="39" customHeight="1" x14ac:dyDescent="0.35">
      <c r="A59" s="12">
        <v>54382</v>
      </c>
      <c r="B59" s="12" t="s">
        <v>406</v>
      </c>
      <c r="C59" s="12" t="s">
        <v>46</v>
      </c>
      <c r="D59" s="12" t="s">
        <v>144</v>
      </c>
      <c r="E59" s="12" t="s">
        <v>145</v>
      </c>
      <c r="F59" s="12" t="s">
        <v>1</v>
      </c>
      <c r="G59" s="12" t="s">
        <v>146</v>
      </c>
      <c r="H59" s="13">
        <v>1224</v>
      </c>
      <c r="I59" s="14">
        <v>0.8</v>
      </c>
      <c r="J59" s="14" t="s">
        <v>16</v>
      </c>
      <c r="K59" s="13" t="s">
        <v>17</v>
      </c>
    </row>
    <row r="60" spans="1:11" ht="39" customHeight="1" x14ac:dyDescent="0.35">
      <c r="A60" s="12">
        <v>107959</v>
      </c>
      <c r="B60" s="12" t="s">
        <v>406</v>
      </c>
      <c r="C60" s="12" t="s">
        <v>46</v>
      </c>
      <c r="D60" s="12" t="s">
        <v>147</v>
      </c>
      <c r="E60" s="12" t="s">
        <v>35</v>
      </c>
      <c r="F60" s="12" t="s">
        <v>4</v>
      </c>
      <c r="G60" s="12" t="s">
        <v>148</v>
      </c>
      <c r="H60" s="13">
        <v>54</v>
      </c>
      <c r="I60" s="14">
        <v>0.5</v>
      </c>
      <c r="J60" s="14" t="s">
        <v>17</v>
      </c>
      <c r="K60" s="13" t="s">
        <v>17</v>
      </c>
    </row>
    <row r="61" spans="1:11" ht="39" customHeight="1" x14ac:dyDescent="0.35">
      <c r="A61" s="12">
        <v>111595</v>
      </c>
      <c r="B61" s="12" t="s">
        <v>406</v>
      </c>
      <c r="C61" s="12" t="s">
        <v>46</v>
      </c>
      <c r="D61" s="12" t="s">
        <v>149</v>
      </c>
      <c r="E61" s="12" t="s">
        <v>35</v>
      </c>
      <c r="F61" s="12" t="s">
        <v>3</v>
      </c>
      <c r="G61" s="12" t="s">
        <v>150</v>
      </c>
      <c r="H61" s="12">
        <v>137</v>
      </c>
      <c r="I61" s="14">
        <v>0.37</v>
      </c>
      <c r="J61" s="14" t="s">
        <v>17</v>
      </c>
      <c r="K61" s="13" t="s">
        <v>17</v>
      </c>
    </row>
    <row r="62" spans="1:11" ht="39" customHeight="1" x14ac:dyDescent="0.35">
      <c r="A62" s="12">
        <v>69027</v>
      </c>
      <c r="B62" s="12" t="s">
        <v>406</v>
      </c>
      <c r="C62" s="12" t="s">
        <v>46</v>
      </c>
      <c r="D62" s="12" t="s">
        <v>151</v>
      </c>
      <c r="E62" s="12" t="s">
        <v>35</v>
      </c>
      <c r="F62" s="12" t="s">
        <v>3</v>
      </c>
      <c r="G62" s="12" t="s">
        <v>152</v>
      </c>
      <c r="H62" s="12">
        <v>248</v>
      </c>
      <c r="I62" s="14">
        <v>0.72</v>
      </c>
      <c r="J62" s="14" t="s">
        <v>16</v>
      </c>
      <c r="K62" s="13" t="s">
        <v>17</v>
      </c>
    </row>
    <row r="63" spans="1:11" ht="39" customHeight="1" x14ac:dyDescent="0.35">
      <c r="A63" s="12">
        <v>75737</v>
      </c>
      <c r="B63" s="12" t="s">
        <v>406</v>
      </c>
      <c r="C63" s="12" t="s">
        <v>46</v>
      </c>
      <c r="D63" s="12" t="s">
        <v>153</v>
      </c>
      <c r="E63" s="12" t="s">
        <v>35</v>
      </c>
      <c r="F63" s="12" t="s">
        <v>4</v>
      </c>
      <c r="G63" s="12" t="s">
        <v>154</v>
      </c>
      <c r="H63" s="12">
        <v>927</v>
      </c>
      <c r="I63" s="14">
        <v>0.55000000000000004</v>
      </c>
      <c r="J63" s="14" t="s">
        <v>16</v>
      </c>
      <c r="K63" s="13" t="s">
        <v>17</v>
      </c>
    </row>
    <row r="64" spans="1:11" ht="39" customHeight="1" x14ac:dyDescent="0.35">
      <c r="A64" s="12">
        <v>75057</v>
      </c>
      <c r="B64" s="12" t="s">
        <v>406</v>
      </c>
      <c r="C64" s="12" t="s">
        <v>46</v>
      </c>
      <c r="D64" s="12" t="s">
        <v>155</v>
      </c>
      <c r="E64" s="12" t="s">
        <v>156</v>
      </c>
      <c r="F64" s="12" t="s">
        <v>4</v>
      </c>
      <c r="G64" s="12" t="s">
        <v>157</v>
      </c>
      <c r="H64" s="13">
        <v>28</v>
      </c>
      <c r="I64" s="14">
        <v>0.89</v>
      </c>
      <c r="J64" s="14" t="s">
        <v>16</v>
      </c>
      <c r="K64" s="13" t="s">
        <v>17</v>
      </c>
    </row>
    <row r="65" spans="1:11" ht="39" customHeight="1" x14ac:dyDescent="0.35">
      <c r="A65" s="12">
        <v>114025</v>
      </c>
      <c r="B65" s="12" t="s">
        <v>45</v>
      </c>
      <c r="C65" s="12" t="s">
        <v>46</v>
      </c>
      <c r="D65" s="12" t="s">
        <v>158</v>
      </c>
      <c r="E65" s="12" t="s">
        <v>35</v>
      </c>
      <c r="F65" s="12" t="s">
        <v>4</v>
      </c>
      <c r="G65" s="12" t="s">
        <v>159</v>
      </c>
      <c r="H65" s="12">
        <v>40</v>
      </c>
      <c r="I65" s="14">
        <v>0.65</v>
      </c>
      <c r="J65" s="14" t="s">
        <v>17</v>
      </c>
      <c r="K65" s="14" t="s">
        <v>17</v>
      </c>
    </row>
    <row r="66" spans="1:11" ht="39" customHeight="1" x14ac:dyDescent="0.35">
      <c r="A66" s="12">
        <v>79982</v>
      </c>
      <c r="B66" s="12" t="s">
        <v>45</v>
      </c>
      <c r="C66" s="12" t="s">
        <v>46</v>
      </c>
      <c r="D66" s="12" t="s">
        <v>160</v>
      </c>
      <c r="E66" s="12" t="s">
        <v>134</v>
      </c>
      <c r="F66" s="12" t="s">
        <v>1</v>
      </c>
      <c r="G66" s="12" t="s">
        <v>161</v>
      </c>
      <c r="H66" s="13">
        <v>1184</v>
      </c>
      <c r="I66" s="14">
        <v>0.96</v>
      </c>
      <c r="J66" s="14" t="s">
        <v>16</v>
      </c>
      <c r="K66" s="13" t="s">
        <v>17</v>
      </c>
    </row>
    <row r="67" spans="1:11" ht="39" customHeight="1" x14ac:dyDescent="0.35">
      <c r="A67" s="12">
        <v>58668</v>
      </c>
      <c r="B67" s="12" t="s">
        <v>406</v>
      </c>
      <c r="C67" s="12" t="s">
        <v>46</v>
      </c>
      <c r="D67" s="12" t="s">
        <v>162</v>
      </c>
      <c r="E67" s="12" t="s">
        <v>91</v>
      </c>
      <c r="F67" s="12" t="s">
        <v>1</v>
      </c>
      <c r="G67" s="12" t="s">
        <v>163</v>
      </c>
      <c r="H67" s="13">
        <v>1665</v>
      </c>
      <c r="I67" s="14">
        <v>0.82</v>
      </c>
      <c r="J67" s="14" t="s">
        <v>16</v>
      </c>
      <c r="K67" s="13" t="s">
        <v>17</v>
      </c>
    </row>
    <row r="68" spans="1:11" ht="39" customHeight="1" x14ac:dyDescent="0.35">
      <c r="A68" s="12">
        <v>68388</v>
      </c>
      <c r="B68" s="12" t="s">
        <v>406</v>
      </c>
      <c r="C68" s="12" t="s">
        <v>46</v>
      </c>
      <c r="D68" s="12" t="s">
        <v>166</v>
      </c>
      <c r="E68" s="12" t="s">
        <v>134</v>
      </c>
      <c r="F68" s="12" t="s">
        <v>1</v>
      </c>
      <c r="G68" s="12" t="s">
        <v>167</v>
      </c>
      <c r="H68" s="13">
        <v>3124</v>
      </c>
      <c r="I68" s="14">
        <v>0.79</v>
      </c>
      <c r="J68" s="14" t="s">
        <v>16</v>
      </c>
      <c r="K68" s="13" t="s">
        <v>17</v>
      </c>
    </row>
    <row r="69" spans="1:11" ht="39" customHeight="1" x14ac:dyDescent="0.35">
      <c r="A69" s="12">
        <v>73189</v>
      </c>
      <c r="B69" s="12" t="s">
        <v>406</v>
      </c>
      <c r="C69" s="12" t="s">
        <v>46</v>
      </c>
      <c r="D69" s="12" t="s">
        <v>168</v>
      </c>
      <c r="E69" s="12" t="s">
        <v>59</v>
      </c>
      <c r="F69" s="12" t="s">
        <v>3</v>
      </c>
      <c r="G69" s="12" t="s">
        <v>169</v>
      </c>
      <c r="H69" s="13">
        <v>194</v>
      </c>
      <c r="I69" s="14">
        <v>0.65</v>
      </c>
      <c r="J69" s="14" t="s">
        <v>16</v>
      </c>
      <c r="K69" s="13" t="s">
        <v>17</v>
      </c>
    </row>
    <row r="70" spans="1:11" ht="39" customHeight="1" x14ac:dyDescent="0.35">
      <c r="A70" s="12">
        <v>70082</v>
      </c>
      <c r="B70" s="12" t="s">
        <v>406</v>
      </c>
      <c r="C70" s="12" t="s">
        <v>170</v>
      </c>
      <c r="D70" s="12" t="s">
        <v>171</v>
      </c>
      <c r="E70" s="12" t="s">
        <v>35</v>
      </c>
      <c r="F70" s="12" t="s">
        <v>3</v>
      </c>
      <c r="G70" s="12" t="s">
        <v>172</v>
      </c>
      <c r="H70" s="13">
        <v>40</v>
      </c>
      <c r="I70" s="14">
        <v>0.9</v>
      </c>
      <c r="J70" s="14" t="s">
        <v>17</v>
      </c>
      <c r="K70" s="13" t="s">
        <v>17</v>
      </c>
    </row>
    <row r="71" spans="1:11" ht="39" customHeight="1" x14ac:dyDescent="0.35">
      <c r="A71" s="12">
        <v>71717</v>
      </c>
      <c r="B71" s="12" t="s">
        <v>406</v>
      </c>
      <c r="C71" s="12" t="s">
        <v>173</v>
      </c>
      <c r="D71" s="12" t="s">
        <v>174</v>
      </c>
      <c r="E71" s="12" t="s">
        <v>35</v>
      </c>
      <c r="F71" s="12" t="s">
        <v>3</v>
      </c>
      <c r="G71" s="12" t="s">
        <v>175</v>
      </c>
      <c r="H71" s="13">
        <v>64</v>
      </c>
      <c r="I71" s="14">
        <v>0.76</v>
      </c>
      <c r="J71" s="14" t="s">
        <v>17</v>
      </c>
      <c r="K71" s="13" t="s">
        <v>260</v>
      </c>
    </row>
    <row r="72" spans="1:11" ht="39" customHeight="1" x14ac:dyDescent="0.35">
      <c r="A72" s="12">
        <v>72274</v>
      </c>
      <c r="B72" s="12" t="s">
        <v>406</v>
      </c>
      <c r="C72" s="12" t="s">
        <v>173</v>
      </c>
      <c r="D72" s="12" t="s">
        <v>176</v>
      </c>
      <c r="E72" s="12" t="s">
        <v>35</v>
      </c>
      <c r="F72" s="12" t="s">
        <v>4</v>
      </c>
      <c r="G72" s="12" t="s">
        <v>177</v>
      </c>
      <c r="H72" s="13">
        <v>2</v>
      </c>
      <c r="I72" s="14">
        <v>0.5</v>
      </c>
      <c r="J72" s="14" t="s">
        <v>17</v>
      </c>
      <c r="K72" s="13" t="s">
        <v>17</v>
      </c>
    </row>
    <row r="73" spans="1:11" ht="39" customHeight="1" x14ac:dyDescent="0.35">
      <c r="A73" s="12">
        <v>72273</v>
      </c>
      <c r="B73" s="12" t="s">
        <v>406</v>
      </c>
      <c r="C73" s="12" t="s">
        <v>173</v>
      </c>
      <c r="D73" s="12" t="s">
        <v>178</v>
      </c>
      <c r="E73" s="12" t="s">
        <v>35</v>
      </c>
      <c r="F73" s="12" t="s">
        <v>2</v>
      </c>
      <c r="G73" s="12" t="s">
        <v>179</v>
      </c>
      <c r="H73" s="13">
        <v>10</v>
      </c>
      <c r="I73" s="14">
        <v>0.5</v>
      </c>
      <c r="J73" s="14" t="s">
        <v>17</v>
      </c>
      <c r="K73" s="13" t="s">
        <v>17</v>
      </c>
    </row>
    <row r="74" spans="1:11" ht="39" customHeight="1" x14ac:dyDescent="0.35">
      <c r="A74" s="12">
        <v>42347</v>
      </c>
      <c r="B74" s="12" t="s">
        <v>406</v>
      </c>
      <c r="C74" s="12" t="s">
        <v>180</v>
      </c>
      <c r="D74" s="12" t="s">
        <v>181</v>
      </c>
      <c r="E74" s="12" t="s">
        <v>35</v>
      </c>
      <c r="F74" s="12" t="s">
        <v>3</v>
      </c>
      <c r="G74" s="12" t="s">
        <v>182</v>
      </c>
      <c r="H74" s="13">
        <v>4200</v>
      </c>
      <c r="I74" s="14">
        <v>0.69</v>
      </c>
      <c r="J74" s="14" t="s">
        <v>17</v>
      </c>
      <c r="K74" s="13" t="s">
        <v>17</v>
      </c>
    </row>
    <row r="75" spans="1:11" ht="39" customHeight="1" x14ac:dyDescent="0.35">
      <c r="A75" s="12">
        <v>50458</v>
      </c>
      <c r="B75" s="12" t="s">
        <v>406</v>
      </c>
      <c r="C75" s="12" t="s">
        <v>183</v>
      </c>
      <c r="D75" s="12" t="s">
        <v>184</v>
      </c>
      <c r="E75" s="12" t="s">
        <v>35</v>
      </c>
      <c r="F75" s="12" t="s">
        <v>2</v>
      </c>
      <c r="G75" s="12" t="s">
        <v>185</v>
      </c>
      <c r="H75" s="13">
        <v>164</v>
      </c>
      <c r="I75" s="14">
        <v>0.21340000000000001</v>
      </c>
      <c r="J75" s="14" t="s">
        <v>17</v>
      </c>
      <c r="K75" s="13" t="s">
        <v>17</v>
      </c>
    </row>
    <row r="76" spans="1:11" ht="39" customHeight="1" x14ac:dyDescent="0.35">
      <c r="A76" s="12">
        <v>33974</v>
      </c>
      <c r="B76" s="12" t="s">
        <v>406</v>
      </c>
      <c r="C76" s="12" t="s">
        <v>183</v>
      </c>
      <c r="D76" s="12" t="s">
        <v>186</v>
      </c>
      <c r="E76" s="12" t="s">
        <v>186</v>
      </c>
      <c r="F76" s="12" t="s">
        <v>1</v>
      </c>
      <c r="G76" s="12" t="s">
        <v>187</v>
      </c>
      <c r="H76" s="13">
        <v>348</v>
      </c>
      <c r="I76" s="14">
        <v>0.36</v>
      </c>
      <c r="J76" s="14" t="s">
        <v>17</v>
      </c>
      <c r="K76" s="13" t="s">
        <v>17</v>
      </c>
    </row>
    <row r="77" spans="1:11" ht="39" customHeight="1" x14ac:dyDescent="0.35">
      <c r="A77" s="15">
        <v>46181</v>
      </c>
      <c r="B77" s="12" t="s">
        <v>406</v>
      </c>
      <c r="C77" s="12" t="s">
        <v>183</v>
      </c>
      <c r="D77" s="12" t="s">
        <v>188</v>
      </c>
      <c r="E77" s="12" t="s">
        <v>186</v>
      </c>
      <c r="F77" s="12" t="s">
        <v>1</v>
      </c>
      <c r="G77" s="12" t="s">
        <v>189</v>
      </c>
      <c r="H77" s="13">
        <v>261</v>
      </c>
      <c r="I77" s="14">
        <v>0.4</v>
      </c>
      <c r="J77" s="14" t="s">
        <v>17</v>
      </c>
      <c r="K77" s="13" t="s">
        <v>17</v>
      </c>
    </row>
    <row r="78" spans="1:11" ht="39" customHeight="1" x14ac:dyDescent="0.35">
      <c r="A78" s="12">
        <v>14025</v>
      </c>
      <c r="B78" s="12" t="s">
        <v>406</v>
      </c>
      <c r="C78" s="12" t="s">
        <v>164</v>
      </c>
      <c r="D78" s="12" t="s">
        <v>190</v>
      </c>
      <c r="E78" s="12" t="s">
        <v>191</v>
      </c>
      <c r="F78" s="12" t="s">
        <v>3</v>
      </c>
      <c r="G78" s="12" t="s">
        <v>192</v>
      </c>
      <c r="H78" s="13">
        <v>6993</v>
      </c>
      <c r="I78" s="14">
        <v>0.99</v>
      </c>
      <c r="J78" s="14" t="s">
        <v>16</v>
      </c>
      <c r="K78" s="13" t="s">
        <v>17</v>
      </c>
    </row>
    <row r="79" spans="1:11" ht="39" customHeight="1" x14ac:dyDescent="0.35">
      <c r="A79" s="12">
        <v>116553</v>
      </c>
      <c r="B79" s="12" t="s">
        <v>406</v>
      </c>
      <c r="C79" s="12" t="s">
        <v>164</v>
      </c>
      <c r="D79" s="12" t="s">
        <v>193</v>
      </c>
      <c r="E79" s="12" t="s">
        <v>191</v>
      </c>
      <c r="F79" s="12" t="s">
        <v>3</v>
      </c>
      <c r="G79" s="12" t="s">
        <v>194</v>
      </c>
      <c r="H79" s="13">
        <v>6556</v>
      </c>
      <c r="I79" s="14">
        <v>0.98</v>
      </c>
      <c r="J79" s="14" t="s">
        <v>16</v>
      </c>
      <c r="K79" s="13" t="s">
        <v>17</v>
      </c>
    </row>
    <row r="80" spans="1:11" ht="39" customHeight="1" x14ac:dyDescent="0.35">
      <c r="A80" s="12">
        <v>43553</v>
      </c>
      <c r="B80" s="12" t="s">
        <v>406</v>
      </c>
      <c r="C80" s="12" t="s">
        <v>164</v>
      </c>
      <c r="D80" s="12" t="s">
        <v>195</v>
      </c>
      <c r="E80" s="12" t="s">
        <v>196</v>
      </c>
      <c r="F80" s="12" t="s">
        <v>1</v>
      </c>
      <c r="G80" s="12" t="s">
        <v>197</v>
      </c>
      <c r="H80" s="13">
        <v>1800</v>
      </c>
      <c r="I80" s="14">
        <v>0.8</v>
      </c>
      <c r="J80" s="14" t="s">
        <v>16</v>
      </c>
      <c r="K80" s="13" t="s">
        <v>17</v>
      </c>
    </row>
    <row r="81" spans="1:11" ht="39" customHeight="1" x14ac:dyDescent="0.35">
      <c r="A81" s="12">
        <v>107846</v>
      </c>
      <c r="B81" s="12" t="s">
        <v>45</v>
      </c>
      <c r="C81" s="12" t="s">
        <v>164</v>
      </c>
      <c r="D81" s="12" t="s">
        <v>198</v>
      </c>
      <c r="E81" s="12" t="s">
        <v>401</v>
      </c>
      <c r="F81" s="12" t="s">
        <v>1</v>
      </c>
      <c r="G81" s="12" t="s">
        <v>199</v>
      </c>
      <c r="H81" s="12">
        <v>925</v>
      </c>
      <c r="I81" s="14">
        <v>0.94</v>
      </c>
      <c r="J81" s="14" t="s">
        <v>17</v>
      </c>
      <c r="K81" s="14" t="s">
        <v>17</v>
      </c>
    </row>
    <row r="82" spans="1:11" ht="39" customHeight="1" x14ac:dyDescent="0.35">
      <c r="A82" s="12">
        <v>116825</v>
      </c>
      <c r="B82" s="12" t="s">
        <v>45</v>
      </c>
      <c r="C82" s="12" t="s">
        <v>164</v>
      </c>
      <c r="D82" s="12" t="s">
        <v>200</v>
      </c>
      <c r="E82" s="12" t="s">
        <v>402</v>
      </c>
      <c r="F82" s="12" t="s">
        <v>1</v>
      </c>
      <c r="G82" s="12" t="s">
        <v>201</v>
      </c>
      <c r="H82" s="13">
        <v>720</v>
      </c>
      <c r="I82" s="14">
        <v>0.9</v>
      </c>
      <c r="J82" s="14" t="s">
        <v>17</v>
      </c>
      <c r="K82" s="14" t="s">
        <v>17</v>
      </c>
    </row>
    <row r="83" spans="1:11" ht="39" customHeight="1" x14ac:dyDescent="0.35">
      <c r="A83" s="12">
        <v>72708</v>
      </c>
      <c r="B83" s="12" t="s">
        <v>406</v>
      </c>
      <c r="C83" s="12" t="s">
        <v>164</v>
      </c>
      <c r="D83" s="12" t="s">
        <v>202</v>
      </c>
      <c r="E83" s="12" t="s">
        <v>203</v>
      </c>
      <c r="F83" s="12" t="s">
        <v>1</v>
      </c>
      <c r="G83" s="12" t="s">
        <v>204</v>
      </c>
      <c r="H83" s="13">
        <v>5177</v>
      </c>
      <c r="I83" s="14">
        <v>0.67</v>
      </c>
      <c r="J83" s="14" t="s">
        <v>16</v>
      </c>
      <c r="K83" s="13" t="s">
        <v>17</v>
      </c>
    </row>
    <row r="84" spans="1:11" ht="39" customHeight="1" x14ac:dyDescent="0.35">
      <c r="A84" s="12">
        <v>96352</v>
      </c>
      <c r="B84" s="12" t="s">
        <v>406</v>
      </c>
      <c r="C84" s="12" t="s">
        <v>164</v>
      </c>
      <c r="D84" s="12" t="s">
        <v>205</v>
      </c>
      <c r="E84" s="12" t="s">
        <v>165</v>
      </c>
      <c r="F84" s="12" t="s">
        <v>1</v>
      </c>
      <c r="G84" s="12" t="s">
        <v>206</v>
      </c>
      <c r="H84" s="13">
        <v>665</v>
      </c>
      <c r="I84" s="14">
        <v>0.87</v>
      </c>
      <c r="J84" s="14" t="s">
        <v>17</v>
      </c>
      <c r="K84" s="13" t="s">
        <v>17</v>
      </c>
    </row>
    <row r="85" spans="1:11" ht="39" customHeight="1" x14ac:dyDescent="0.35">
      <c r="A85" s="12">
        <v>68355</v>
      </c>
      <c r="B85" s="12" t="s">
        <v>406</v>
      </c>
      <c r="C85" s="12" t="s">
        <v>164</v>
      </c>
      <c r="D85" s="12" t="s">
        <v>207</v>
      </c>
      <c r="E85" s="12" t="s">
        <v>208</v>
      </c>
      <c r="F85" s="12" t="s">
        <v>1</v>
      </c>
      <c r="G85" s="12" t="s">
        <v>209</v>
      </c>
      <c r="H85" s="13">
        <v>10672</v>
      </c>
      <c r="I85" s="14">
        <v>0.9</v>
      </c>
      <c r="J85" s="14" t="s">
        <v>16</v>
      </c>
      <c r="K85" s="13" t="s">
        <v>17</v>
      </c>
    </row>
    <row r="86" spans="1:11" ht="39" customHeight="1" x14ac:dyDescent="0.35">
      <c r="A86" s="12">
        <v>98740</v>
      </c>
      <c r="B86" s="12" t="s">
        <v>406</v>
      </c>
      <c r="C86" s="12" t="s">
        <v>164</v>
      </c>
      <c r="D86" s="12" t="s">
        <v>210</v>
      </c>
      <c r="E86" s="12" t="s">
        <v>211</v>
      </c>
      <c r="F86" s="12" t="s">
        <v>1</v>
      </c>
      <c r="G86" s="12" t="s">
        <v>212</v>
      </c>
      <c r="H86" s="13">
        <v>1802</v>
      </c>
      <c r="I86" s="14">
        <v>0.87</v>
      </c>
      <c r="J86" s="14" t="s">
        <v>17</v>
      </c>
      <c r="K86" s="13" t="s">
        <v>17</v>
      </c>
    </row>
    <row r="87" spans="1:11" ht="39" customHeight="1" x14ac:dyDescent="0.35">
      <c r="A87" s="12">
        <v>19392</v>
      </c>
      <c r="B87" s="12" t="s">
        <v>406</v>
      </c>
      <c r="C87" s="12" t="s">
        <v>164</v>
      </c>
      <c r="D87" s="12" t="s">
        <v>213</v>
      </c>
      <c r="E87" s="12" t="s">
        <v>59</v>
      </c>
      <c r="F87" s="12" t="s">
        <v>3</v>
      </c>
      <c r="G87" s="12" t="s">
        <v>214</v>
      </c>
      <c r="H87" s="13">
        <v>985</v>
      </c>
      <c r="I87" s="14">
        <v>0.86</v>
      </c>
      <c r="J87" s="14" t="s">
        <v>17</v>
      </c>
      <c r="K87" s="13" t="s">
        <v>17</v>
      </c>
    </row>
    <row r="88" spans="1:11" ht="39" customHeight="1" x14ac:dyDescent="0.35">
      <c r="A88" s="12">
        <v>30781</v>
      </c>
      <c r="B88" s="12" t="s">
        <v>406</v>
      </c>
      <c r="C88" s="12" t="s">
        <v>216</v>
      </c>
      <c r="D88" s="12" t="s">
        <v>215</v>
      </c>
      <c r="E88" s="12" t="s">
        <v>35</v>
      </c>
      <c r="F88" s="12" t="s">
        <v>3</v>
      </c>
      <c r="G88" s="12" t="s">
        <v>217</v>
      </c>
      <c r="H88" s="13">
        <v>75</v>
      </c>
      <c r="I88" s="14">
        <v>0.65</v>
      </c>
      <c r="J88" s="14" t="s">
        <v>16</v>
      </c>
      <c r="K88" s="13" t="s">
        <v>17</v>
      </c>
    </row>
    <row r="89" spans="1:11" ht="39" customHeight="1" x14ac:dyDescent="0.35">
      <c r="A89" s="12">
        <v>80625</v>
      </c>
      <c r="B89" s="12" t="s">
        <v>406</v>
      </c>
      <c r="C89" s="12" t="s">
        <v>216</v>
      </c>
      <c r="D89" s="12" t="s">
        <v>218</v>
      </c>
      <c r="E89" s="12" t="s">
        <v>35</v>
      </c>
      <c r="F89" s="12" t="s">
        <v>1</v>
      </c>
      <c r="G89" s="12" t="s">
        <v>219</v>
      </c>
      <c r="H89" s="13">
        <v>40</v>
      </c>
      <c r="I89" s="14">
        <v>0.5</v>
      </c>
      <c r="J89" s="14" t="s">
        <v>17</v>
      </c>
      <c r="K89" s="13" t="s">
        <v>17</v>
      </c>
    </row>
    <row r="90" spans="1:11" ht="39" customHeight="1" x14ac:dyDescent="0.35">
      <c r="A90" s="12">
        <v>17984</v>
      </c>
      <c r="B90" s="12" t="s">
        <v>406</v>
      </c>
      <c r="C90" s="12" t="s">
        <v>220</v>
      </c>
      <c r="D90" s="12" t="s">
        <v>221</v>
      </c>
      <c r="E90" s="12" t="s">
        <v>59</v>
      </c>
      <c r="F90" s="12" t="s">
        <v>3</v>
      </c>
      <c r="G90" s="12" t="s">
        <v>222</v>
      </c>
      <c r="H90" s="13">
        <v>1655</v>
      </c>
      <c r="I90" s="14">
        <v>0.6</v>
      </c>
      <c r="J90" s="14" t="s">
        <v>17</v>
      </c>
      <c r="K90" s="13" t="s">
        <v>404</v>
      </c>
    </row>
    <row r="91" spans="1:11" ht="39" customHeight="1" x14ac:dyDescent="0.35">
      <c r="A91" s="12">
        <v>64814</v>
      </c>
      <c r="B91" s="12" t="s">
        <v>406</v>
      </c>
      <c r="C91" s="12" t="s">
        <v>220</v>
      </c>
      <c r="D91" s="12" t="s">
        <v>223</v>
      </c>
      <c r="E91" s="12" t="s">
        <v>59</v>
      </c>
      <c r="F91" s="12" t="s">
        <v>3</v>
      </c>
      <c r="G91" s="12" t="s">
        <v>224</v>
      </c>
      <c r="H91" s="13">
        <v>1208</v>
      </c>
      <c r="I91" s="14">
        <v>0.71</v>
      </c>
      <c r="J91" s="14" t="s">
        <v>17</v>
      </c>
      <c r="K91" s="13" t="s">
        <v>405</v>
      </c>
    </row>
    <row r="92" spans="1:11" ht="39" customHeight="1" x14ac:dyDescent="0.35">
      <c r="A92" s="12">
        <v>68376</v>
      </c>
      <c r="B92" s="12" t="s">
        <v>406</v>
      </c>
      <c r="C92" s="12" t="s">
        <v>226</v>
      </c>
      <c r="D92" s="12" t="s">
        <v>225</v>
      </c>
      <c r="E92" s="12" t="s">
        <v>227</v>
      </c>
      <c r="F92" s="12" t="s">
        <v>2</v>
      </c>
      <c r="G92" s="12" t="s">
        <v>228</v>
      </c>
      <c r="H92" s="13">
        <v>301</v>
      </c>
      <c r="I92" s="14"/>
      <c r="J92" s="14"/>
      <c r="K92" s="13"/>
    </row>
    <row r="93" spans="1:11" ht="39" customHeight="1" x14ac:dyDescent="0.35">
      <c r="A93" s="12">
        <v>56809</v>
      </c>
      <c r="B93" s="12" t="s">
        <v>406</v>
      </c>
      <c r="C93" s="12" t="s">
        <v>230</v>
      </c>
      <c r="D93" s="12" t="s">
        <v>229</v>
      </c>
      <c r="E93" s="12" t="s">
        <v>35</v>
      </c>
      <c r="F93" s="12" t="s">
        <v>4</v>
      </c>
      <c r="G93" s="12" t="s">
        <v>231</v>
      </c>
      <c r="H93" s="13">
        <v>46</v>
      </c>
      <c r="I93" s="14">
        <v>0.36</v>
      </c>
      <c r="J93" s="14" t="s">
        <v>17</v>
      </c>
      <c r="K93" s="13" t="s">
        <v>17</v>
      </c>
    </row>
    <row r="94" spans="1:11" ht="39" customHeight="1" x14ac:dyDescent="0.35">
      <c r="A94" s="12">
        <v>57280</v>
      </c>
      <c r="B94" s="12" t="s">
        <v>406</v>
      </c>
      <c r="C94" s="12" t="s">
        <v>233</v>
      </c>
      <c r="D94" s="12" t="s">
        <v>232</v>
      </c>
      <c r="E94" s="12" t="s">
        <v>35</v>
      </c>
      <c r="F94" s="12" t="s">
        <v>3</v>
      </c>
      <c r="G94" s="12" t="s">
        <v>234</v>
      </c>
      <c r="H94" s="13">
        <v>436</v>
      </c>
      <c r="I94" s="14">
        <v>0.5</v>
      </c>
      <c r="J94" s="14" t="s">
        <v>17</v>
      </c>
      <c r="K94" s="13" t="s">
        <v>17</v>
      </c>
    </row>
    <row r="95" spans="1:11" ht="39" customHeight="1" x14ac:dyDescent="0.35">
      <c r="A95" s="15">
        <v>59005</v>
      </c>
      <c r="B95" s="12" t="s">
        <v>406</v>
      </c>
      <c r="C95" s="12" t="s">
        <v>235</v>
      </c>
      <c r="D95" s="12" t="s">
        <v>236</v>
      </c>
      <c r="E95" s="12" t="s">
        <v>237</v>
      </c>
      <c r="F95" s="12" t="s">
        <v>2</v>
      </c>
      <c r="G95" s="12" t="s">
        <v>238</v>
      </c>
      <c r="H95" s="13">
        <v>796</v>
      </c>
      <c r="I95" s="14">
        <v>0.03</v>
      </c>
      <c r="J95" s="14" t="s">
        <v>17</v>
      </c>
      <c r="K95" s="13" t="s">
        <v>17</v>
      </c>
    </row>
    <row r="96" spans="1:11" ht="39" customHeight="1" x14ac:dyDescent="0.35">
      <c r="A96" s="12">
        <v>68319</v>
      </c>
      <c r="B96" s="12" t="s">
        <v>406</v>
      </c>
      <c r="C96" s="12" t="s">
        <v>239</v>
      </c>
      <c r="D96" s="12" t="s">
        <v>240</v>
      </c>
      <c r="E96" s="12" t="s">
        <v>241</v>
      </c>
      <c r="F96" s="12" t="s">
        <v>3</v>
      </c>
      <c r="G96" s="12" t="s">
        <v>242</v>
      </c>
      <c r="H96" s="13">
        <v>260</v>
      </c>
      <c r="I96" s="14">
        <v>0.72</v>
      </c>
      <c r="J96" s="14" t="s">
        <v>17</v>
      </c>
      <c r="K96" s="13" t="s">
        <v>17</v>
      </c>
    </row>
    <row r="97" spans="1:11" ht="39" customHeight="1" x14ac:dyDescent="0.35">
      <c r="A97" s="12">
        <v>49592</v>
      </c>
      <c r="B97" s="12" t="s">
        <v>406</v>
      </c>
      <c r="C97" s="12" t="s">
        <v>239</v>
      </c>
      <c r="D97" s="12" t="s">
        <v>243</v>
      </c>
      <c r="E97" s="12" t="s">
        <v>35</v>
      </c>
      <c r="F97" s="12" t="s">
        <v>4</v>
      </c>
      <c r="G97" s="12" t="s">
        <v>244</v>
      </c>
      <c r="H97" s="13">
        <v>740</v>
      </c>
      <c r="I97" s="14">
        <v>0.75</v>
      </c>
      <c r="J97" s="14" t="s">
        <v>17</v>
      </c>
      <c r="K97" s="13" t="s">
        <v>17</v>
      </c>
    </row>
    <row r="98" spans="1:11" ht="39" customHeight="1" x14ac:dyDescent="0.35">
      <c r="A98" s="12">
        <v>60101</v>
      </c>
      <c r="B98" s="12" t="s">
        <v>406</v>
      </c>
      <c r="C98" s="12" t="s">
        <v>245</v>
      </c>
      <c r="D98" s="12" t="s">
        <v>246</v>
      </c>
      <c r="E98" s="12" t="s">
        <v>35</v>
      </c>
      <c r="F98" s="12" t="s">
        <v>4</v>
      </c>
      <c r="G98" s="12" t="s">
        <v>247</v>
      </c>
      <c r="H98" s="13">
        <v>131</v>
      </c>
      <c r="I98" s="14">
        <v>0.47</v>
      </c>
      <c r="J98" s="14" t="s">
        <v>123</v>
      </c>
      <c r="K98" s="13" t="s">
        <v>17</v>
      </c>
    </row>
    <row r="99" spans="1:11" ht="39" customHeight="1" x14ac:dyDescent="0.35">
      <c r="A99" s="12">
        <v>84017</v>
      </c>
      <c r="B99" s="12" t="s">
        <v>406</v>
      </c>
      <c r="C99" s="12" t="s">
        <v>245</v>
      </c>
      <c r="D99" s="12" t="s">
        <v>248</v>
      </c>
      <c r="E99" s="12" t="s">
        <v>35</v>
      </c>
      <c r="F99" s="12" t="s">
        <v>4</v>
      </c>
      <c r="G99" s="12" t="s">
        <v>249</v>
      </c>
      <c r="H99" s="13">
        <v>190</v>
      </c>
      <c r="I99" s="14">
        <v>0.25</v>
      </c>
      <c r="J99" s="14" t="s">
        <v>123</v>
      </c>
      <c r="K99" s="13" t="s">
        <v>17</v>
      </c>
    </row>
    <row r="100" spans="1:11" ht="39" customHeight="1" x14ac:dyDescent="0.35">
      <c r="A100" s="12">
        <v>31184</v>
      </c>
      <c r="B100" s="12" t="s">
        <v>406</v>
      </c>
      <c r="C100" s="12" t="s">
        <v>250</v>
      </c>
      <c r="D100" s="12" t="s">
        <v>251</v>
      </c>
      <c r="E100" s="12" t="s">
        <v>252</v>
      </c>
      <c r="F100" s="12" t="s">
        <v>3</v>
      </c>
      <c r="G100" s="12" t="s">
        <v>253</v>
      </c>
      <c r="H100" s="13">
        <v>4001</v>
      </c>
      <c r="I100" s="14">
        <v>0.93</v>
      </c>
      <c r="J100" s="14" t="s">
        <v>17</v>
      </c>
      <c r="K100" s="13" t="s">
        <v>17</v>
      </c>
    </row>
    <row r="101" spans="1:11" ht="39" customHeight="1" x14ac:dyDescent="0.35">
      <c r="A101" s="12">
        <v>34319</v>
      </c>
      <c r="B101" s="12" t="s">
        <v>406</v>
      </c>
      <c r="C101" s="12" t="s">
        <v>250</v>
      </c>
      <c r="D101" s="12" t="s">
        <v>255</v>
      </c>
      <c r="E101" s="12" t="s">
        <v>252</v>
      </c>
      <c r="F101" s="12" t="s">
        <v>3</v>
      </c>
      <c r="G101" s="12" t="s">
        <v>256</v>
      </c>
      <c r="H101" s="13">
        <v>1937</v>
      </c>
      <c r="I101" s="14">
        <v>0.92</v>
      </c>
      <c r="J101" s="14" t="s">
        <v>17</v>
      </c>
      <c r="K101" s="13" t="s">
        <v>17</v>
      </c>
    </row>
    <row r="102" spans="1:11" ht="39" customHeight="1" x14ac:dyDescent="0.35">
      <c r="A102" s="12">
        <v>87628</v>
      </c>
      <c r="B102" s="12" t="s">
        <v>406</v>
      </c>
      <c r="C102" s="12" t="s">
        <v>257</v>
      </c>
      <c r="D102" s="12" t="s">
        <v>258</v>
      </c>
      <c r="E102" s="12" t="s">
        <v>35</v>
      </c>
      <c r="F102" s="12" t="s">
        <v>3</v>
      </c>
      <c r="G102" s="12" t="s">
        <v>259</v>
      </c>
      <c r="H102" s="13">
        <v>102</v>
      </c>
      <c r="I102" s="14">
        <v>0.65</v>
      </c>
      <c r="J102" s="14" t="s">
        <v>16</v>
      </c>
      <c r="K102" s="13" t="s">
        <v>260</v>
      </c>
    </row>
    <row r="103" spans="1:11" ht="39" customHeight="1" x14ac:dyDescent="0.35">
      <c r="A103" s="12">
        <v>108625</v>
      </c>
      <c r="B103" s="12" t="s">
        <v>406</v>
      </c>
      <c r="C103" s="12" t="s">
        <v>257</v>
      </c>
      <c r="D103" s="12" t="s">
        <v>261</v>
      </c>
      <c r="E103" s="12" t="s">
        <v>68</v>
      </c>
      <c r="F103" s="12" t="s">
        <v>2</v>
      </c>
      <c r="G103" s="12" t="s">
        <v>262</v>
      </c>
      <c r="H103" s="12">
        <v>7</v>
      </c>
      <c r="I103" s="14">
        <v>0.42</v>
      </c>
      <c r="J103" s="14" t="s">
        <v>17</v>
      </c>
      <c r="K103" s="14" t="s">
        <v>17</v>
      </c>
    </row>
    <row r="104" spans="1:11" ht="39" customHeight="1" x14ac:dyDescent="0.35">
      <c r="A104" s="12">
        <v>72247</v>
      </c>
      <c r="B104" s="12" t="s">
        <v>406</v>
      </c>
      <c r="C104" s="12" t="s">
        <v>257</v>
      </c>
      <c r="D104" s="12" t="s">
        <v>263</v>
      </c>
      <c r="E104" s="12" t="s">
        <v>35</v>
      </c>
      <c r="F104" s="12" t="s">
        <v>2</v>
      </c>
      <c r="G104" s="12" t="s">
        <v>264</v>
      </c>
      <c r="H104" s="13">
        <v>115</v>
      </c>
      <c r="I104" s="14">
        <v>0.51</v>
      </c>
      <c r="J104" s="14" t="s">
        <v>16</v>
      </c>
      <c r="K104" s="13" t="s">
        <v>265</v>
      </c>
    </row>
    <row r="105" spans="1:11" ht="39" customHeight="1" x14ac:dyDescent="0.35">
      <c r="A105" s="12">
        <v>13438</v>
      </c>
      <c r="B105" s="12" t="s">
        <v>406</v>
      </c>
      <c r="C105" s="12" t="s">
        <v>266</v>
      </c>
      <c r="D105" s="12" t="s">
        <v>267</v>
      </c>
      <c r="E105" s="12" t="s">
        <v>31</v>
      </c>
      <c r="F105" s="12" t="s">
        <v>3</v>
      </c>
      <c r="G105" s="12" t="s">
        <v>268</v>
      </c>
      <c r="H105" s="13">
        <v>1265</v>
      </c>
      <c r="I105" s="14">
        <v>0.7</v>
      </c>
      <c r="J105" s="14" t="s">
        <v>17</v>
      </c>
      <c r="K105" s="13" t="s">
        <v>17</v>
      </c>
    </row>
    <row r="106" spans="1:11" ht="39" customHeight="1" x14ac:dyDescent="0.35">
      <c r="A106" s="12">
        <v>63395</v>
      </c>
      <c r="B106" s="12" t="s">
        <v>406</v>
      </c>
      <c r="C106" s="12" t="s">
        <v>270</v>
      </c>
      <c r="D106" s="12" t="s">
        <v>269</v>
      </c>
      <c r="E106" s="12" t="s">
        <v>271</v>
      </c>
      <c r="F106" s="12" t="s">
        <v>4</v>
      </c>
      <c r="G106" s="12" t="s">
        <v>272</v>
      </c>
      <c r="H106" s="13">
        <v>160</v>
      </c>
      <c r="I106" s="14">
        <v>0.92</v>
      </c>
      <c r="J106" s="14" t="s">
        <v>17</v>
      </c>
      <c r="K106" s="13" t="s">
        <v>17</v>
      </c>
    </row>
    <row r="107" spans="1:11" ht="39" customHeight="1" x14ac:dyDescent="0.35">
      <c r="A107" s="12">
        <v>64749</v>
      </c>
      <c r="B107" s="12" t="s">
        <v>406</v>
      </c>
      <c r="C107" s="12" t="s">
        <v>274</v>
      </c>
      <c r="D107" s="12" t="s">
        <v>275</v>
      </c>
      <c r="E107" s="12" t="s">
        <v>276</v>
      </c>
      <c r="F107" s="12" t="s">
        <v>3</v>
      </c>
      <c r="G107" s="12" t="s">
        <v>277</v>
      </c>
      <c r="H107" s="13">
        <v>205</v>
      </c>
      <c r="I107" s="14">
        <v>0.45</v>
      </c>
      <c r="J107" s="14" t="s">
        <v>17</v>
      </c>
      <c r="K107" s="13" t="s">
        <v>17</v>
      </c>
    </row>
    <row r="108" spans="1:11" ht="39" customHeight="1" x14ac:dyDescent="0.35">
      <c r="A108" s="12">
        <v>62308</v>
      </c>
      <c r="B108" s="12" t="s">
        <v>406</v>
      </c>
      <c r="C108" s="12" t="s">
        <v>274</v>
      </c>
      <c r="D108" s="12" t="s">
        <v>273</v>
      </c>
      <c r="E108" s="12" t="s">
        <v>276</v>
      </c>
      <c r="F108" s="12" t="s">
        <v>3</v>
      </c>
      <c r="G108" s="12" t="s">
        <v>278</v>
      </c>
      <c r="H108" s="13">
        <v>711</v>
      </c>
      <c r="I108" s="14">
        <v>0.6</v>
      </c>
      <c r="J108" s="14" t="s">
        <v>17</v>
      </c>
      <c r="K108" s="13" t="s">
        <v>17</v>
      </c>
    </row>
    <row r="109" spans="1:11" ht="39" customHeight="1" x14ac:dyDescent="0.35">
      <c r="A109" s="12">
        <v>63089</v>
      </c>
      <c r="B109" s="12" t="s">
        <v>406</v>
      </c>
      <c r="C109" s="12" t="s">
        <v>280</v>
      </c>
      <c r="D109" s="12" t="s">
        <v>279</v>
      </c>
      <c r="E109" s="12" t="s">
        <v>35</v>
      </c>
      <c r="F109" s="12" t="s">
        <v>2</v>
      </c>
      <c r="G109" s="12" t="s">
        <v>281</v>
      </c>
      <c r="H109" s="13">
        <v>1003</v>
      </c>
      <c r="I109" s="14">
        <v>0.3</v>
      </c>
      <c r="J109" s="14" t="s">
        <v>123</v>
      </c>
      <c r="K109" s="13" t="s">
        <v>17</v>
      </c>
    </row>
    <row r="110" spans="1:11" ht="39" customHeight="1" x14ac:dyDescent="0.35">
      <c r="A110" s="12">
        <v>24499</v>
      </c>
      <c r="B110" s="12" t="s">
        <v>406</v>
      </c>
      <c r="C110" s="12" t="s">
        <v>280</v>
      </c>
      <c r="D110" s="12" t="s">
        <v>282</v>
      </c>
      <c r="E110" s="12" t="s">
        <v>271</v>
      </c>
      <c r="F110" s="12" t="s">
        <v>4</v>
      </c>
      <c r="G110" s="12" t="s">
        <v>283</v>
      </c>
      <c r="H110" s="13">
        <v>149</v>
      </c>
      <c r="I110" s="14">
        <v>0.8</v>
      </c>
      <c r="J110" s="14" t="s">
        <v>123</v>
      </c>
      <c r="K110" s="13" t="s">
        <v>17</v>
      </c>
    </row>
    <row r="111" spans="1:11" ht="39" customHeight="1" x14ac:dyDescent="0.35">
      <c r="A111" s="12">
        <v>24500</v>
      </c>
      <c r="B111" s="12" t="s">
        <v>406</v>
      </c>
      <c r="C111" s="12" t="s">
        <v>280</v>
      </c>
      <c r="D111" s="12" t="s">
        <v>284</v>
      </c>
      <c r="E111" s="12" t="s">
        <v>271</v>
      </c>
      <c r="F111" s="12" t="s">
        <v>4</v>
      </c>
      <c r="G111" s="12" t="s">
        <v>285</v>
      </c>
      <c r="H111" s="13">
        <v>120</v>
      </c>
      <c r="I111" s="14">
        <v>0.56999999999999995</v>
      </c>
      <c r="J111" s="14" t="s">
        <v>123</v>
      </c>
      <c r="K111" s="13" t="s">
        <v>17</v>
      </c>
    </row>
    <row r="112" spans="1:11" ht="39" customHeight="1" x14ac:dyDescent="0.35">
      <c r="A112" s="12">
        <v>62162</v>
      </c>
      <c r="B112" s="12" t="s">
        <v>406</v>
      </c>
      <c r="C112" s="12" t="s">
        <v>280</v>
      </c>
      <c r="D112" s="12" t="s">
        <v>286</v>
      </c>
      <c r="E112" s="12" t="s">
        <v>271</v>
      </c>
      <c r="F112" s="12" t="s">
        <v>4</v>
      </c>
      <c r="G112" s="12" t="s">
        <v>287</v>
      </c>
      <c r="H112" s="13">
        <v>119</v>
      </c>
      <c r="I112" s="14">
        <v>0.85</v>
      </c>
      <c r="J112" s="14" t="s">
        <v>123</v>
      </c>
      <c r="K112" s="13" t="s">
        <v>17</v>
      </c>
    </row>
    <row r="113" spans="1:11" ht="39" customHeight="1" x14ac:dyDescent="0.35">
      <c r="A113" s="12">
        <v>28129</v>
      </c>
      <c r="B113" s="12" t="s">
        <v>406</v>
      </c>
      <c r="C113" s="12" t="s">
        <v>288</v>
      </c>
      <c r="D113" s="12" t="s">
        <v>289</v>
      </c>
      <c r="E113" s="12" t="s">
        <v>35</v>
      </c>
      <c r="F113" s="12" t="s">
        <v>3</v>
      </c>
      <c r="G113" s="12" t="s">
        <v>290</v>
      </c>
      <c r="H113" s="13">
        <v>40</v>
      </c>
      <c r="I113" s="14">
        <v>0.5</v>
      </c>
      <c r="J113" s="14" t="s">
        <v>17</v>
      </c>
      <c r="K113" s="13" t="s">
        <v>17</v>
      </c>
    </row>
    <row r="114" spans="1:11" ht="39" customHeight="1" x14ac:dyDescent="0.35">
      <c r="A114" s="12">
        <v>87330</v>
      </c>
      <c r="B114" s="12" t="s">
        <v>406</v>
      </c>
      <c r="C114" s="12" t="s">
        <v>288</v>
      </c>
      <c r="D114" s="12" t="s">
        <v>291</v>
      </c>
      <c r="E114" s="12" t="s">
        <v>35</v>
      </c>
      <c r="F114" s="12" t="s">
        <v>3</v>
      </c>
      <c r="G114" s="12" t="s">
        <v>292</v>
      </c>
      <c r="H114" s="13">
        <v>25</v>
      </c>
      <c r="I114" s="14">
        <v>0.64</v>
      </c>
      <c r="J114" s="14" t="s">
        <v>17</v>
      </c>
      <c r="K114" s="13" t="s">
        <v>17</v>
      </c>
    </row>
    <row r="115" spans="1:11" ht="39" customHeight="1" x14ac:dyDescent="0.35">
      <c r="A115" s="12">
        <v>49570</v>
      </c>
      <c r="B115" s="12" t="s">
        <v>406</v>
      </c>
      <c r="C115" s="12" t="s">
        <v>288</v>
      </c>
      <c r="D115" s="12" t="s">
        <v>293</v>
      </c>
      <c r="E115" s="12" t="s">
        <v>227</v>
      </c>
      <c r="F115" s="12" t="s">
        <v>1</v>
      </c>
      <c r="G115" s="12" t="s">
        <v>294</v>
      </c>
      <c r="H115" s="13">
        <v>246</v>
      </c>
      <c r="I115" s="14"/>
      <c r="J115" s="14"/>
      <c r="K115" s="13"/>
    </row>
    <row r="116" spans="1:11" ht="39" customHeight="1" x14ac:dyDescent="0.35">
      <c r="A116" s="12">
        <v>28459</v>
      </c>
      <c r="B116" s="12" t="s">
        <v>406</v>
      </c>
      <c r="C116" s="12" t="s">
        <v>254</v>
      </c>
      <c r="D116" s="12" t="s">
        <v>297</v>
      </c>
      <c r="E116" s="12" t="s">
        <v>35</v>
      </c>
      <c r="F116" s="12" t="s">
        <v>3</v>
      </c>
      <c r="G116" s="12" t="s">
        <v>298</v>
      </c>
      <c r="H116" s="13">
        <v>35</v>
      </c>
      <c r="I116" s="14">
        <v>0.5</v>
      </c>
      <c r="J116" s="14" t="s">
        <v>17</v>
      </c>
      <c r="K116" s="13" t="s">
        <v>17</v>
      </c>
    </row>
    <row r="117" spans="1:11" ht="39" customHeight="1" x14ac:dyDescent="0.35">
      <c r="A117" s="12">
        <v>67392</v>
      </c>
      <c r="B117" s="12" t="s">
        <v>406</v>
      </c>
      <c r="C117" s="12" t="s">
        <v>254</v>
      </c>
      <c r="D117" s="12" t="s">
        <v>299</v>
      </c>
      <c r="E117" s="12" t="s">
        <v>35</v>
      </c>
      <c r="F117" s="12" t="s">
        <v>3</v>
      </c>
      <c r="G117" s="12" t="s">
        <v>300</v>
      </c>
      <c r="H117" s="13">
        <v>10</v>
      </c>
      <c r="I117" s="14">
        <v>0.5</v>
      </c>
      <c r="J117" s="14" t="s">
        <v>17</v>
      </c>
      <c r="K117" s="13" t="s">
        <v>17</v>
      </c>
    </row>
    <row r="118" spans="1:11" ht="39" customHeight="1" x14ac:dyDescent="0.35">
      <c r="A118" s="12">
        <v>49571</v>
      </c>
      <c r="B118" s="12" t="s">
        <v>406</v>
      </c>
      <c r="C118" s="12" t="s">
        <v>254</v>
      </c>
      <c r="D118" s="12" t="s">
        <v>301</v>
      </c>
      <c r="E118" s="12" t="s">
        <v>227</v>
      </c>
      <c r="F118" s="12" t="s">
        <v>1</v>
      </c>
      <c r="G118" s="12" t="s">
        <v>302</v>
      </c>
      <c r="H118" s="13">
        <v>187</v>
      </c>
      <c r="I118" s="14"/>
      <c r="J118" s="14"/>
      <c r="K118" s="13"/>
    </row>
    <row r="119" spans="1:11" ht="39" customHeight="1" x14ac:dyDescent="0.35">
      <c r="A119" s="12">
        <v>49572</v>
      </c>
      <c r="B119" s="12" t="s">
        <v>406</v>
      </c>
      <c r="C119" s="12" t="s">
        <v>254</v>
      </c>
      <c r="D119" s="12" t="s">
        <v>303</v>
      </c>
      <c r="E119" s="12" t="s">
        <v>227</v>
      </c>
      <c r="F119" s="12" t="s">
        <v>1</v>
      </c>
      <c r="G119" s="12" t="s">
        <v>304</v>
      </c>
      <c r="H119" s="13">
        <v>265</v>
      </c>
      <c r="I119" s="14"/>
      <c r="J119" s="14"/>
      <c r="K119" s="13"/>
    </row>
    <row r="120" spans="1:11" ht="39" customHeight="1" x14ac:dyDescent="0.35">
      <c r="A120" s="12">
        <v>49573</v>
      </c>
      <c r="B120" s="12" t="s">
        <v>406</v>
      </c>
      <c r="C120" s="12" t="s">
        <v>254</v>
      </c>
      <c r="D120" s="12" t="s">
        <v>305</v>
      </c>
      <c r="E120" s="12" t="s">
        <v>227</v>
      </c>
      <c r="F120" s="12" t="s">
        <v>1</v>
      </c>
      <c r="G120" s="12" t="s">
        <v>306</v>
      </c>
      <c r="H120" s="13">
        <v>120</v>
      </c>
      <c r="I120" s="14"/>
      <c r="J120" s="14"/>
      <c r="K120" s="13"/>
    </row>
    <row r="121" spans="1:11" ht="41.5" customHeight="1" x14ac:dyDescent="0.35">
      <c r="A121" s="12">
        <v>49574</v>
      </c>
      <c r="B121" s="12" t="s">
        <v>406</v>
      </c>
      <c r="C121" s="12" t="s">
        <v>254</v>
      </c>
      <c r="D121" s="12" t="s">
        <v>307</v>
      </c>
      <c r="E121" s="12" t="s">
        <v>227</v>
      </c>
      <c r="F121" s="12" t="s">
        <v>1</v>
      </c>
      <c r="G121" s="12" t="s">
        <v>308</v>
      </c>
      <c r="H121" s="13">
        <v>280</v>
      </c>
      <c r="I121" s="14"/>
      <c r="J121" s="14"/>
      <c r="K121" s="13"/>
    </row>
    <row r="122" spans="1:11" ht="41.5" customHeight="1" x14ac:dyDescent="0.35">
      <c r="A122" s="12">
        <v>28552</v>
      </c>
      <c r="B122" s="12" t="s">
        <v>406</v>
      </c>
      <c r="C122" s="12" t="s">
        <v>254</v>
      </c>
      <c r="D122" s="12" t="s">
        <v>309</v>
      </c>
      <c r="E122" s="12" t="s">
        <v>310</v>
      </c>
      <c r="F122" s="12" t="s">
        <v>3</v>
      </c>
      <c r="G122" s="12" t="s">
        <v>311</v>
      </c>
      <c r="H122" s="13">
        <v>48</v>
      </c>
      <c r="I122" s="14">
        <v>0.38</v>
      </c>
      <c r="J122" s="14" t="s">
        <v>17</v>
      </c>
      <c r="K122" s="13" t="s">
        <v>17</v>
      </c>
    </row>
    <row r="123" spans="1:11" ht="41.5" customHeight="1" x14ac:dyDescent="0.35">
      <c r="A123" s="12">
        <v>93141</v>
      </c>
      <c r="B123" s="12" t="s">
        <v>406</v>
      </c>
      <c r="C123" s="12" t="s">
        <v>254</v>
      </c>
      <c r="D123" s="12" t="s">
        <v>312</v>
      </c>
      <c r="E123" s="12" t="s">
        <v>35</v>
      </c>
      <c r="F123" s="12" t="s">
        <v>3</v>
      </c>
      <c r="G123" s="12" t="s">
        <v>313</v>
      </c>
      <c r="H123" s="12">
        <v>27</v>
      </c>
      <c r="I123" s="14">
        <v>0.45</v>
      </c>
      <c r="J123" s="14" t="s">
        <v>17</v>
      </c>
      <c r="K123" s="13" t="s">
        <v>17</v>
      </c>
    </row>
    <row r="124" spans="1:11" ht="41.5" customHeight="1" x14ac:dyDescent="0.35">
      <c r="A124" s="12">
        <v>28555</v>
      </c>
      <c r="B124" s="12" t="s">
        <v>406</v>
      </c>
      <c r="C124" s="12" t="s">
        <v>254</v>
      </c>
      <c r="D124" s="12" t="s">
        <v>314</v>
      </c>
      <c r="E124" s="12" t="s">
        <v>315</v>
      </c>
      <c r="F124" s="12" t="s">
        <v>3</v>
      </c>
      <c r="G124" s="12" t="s">
        <v>316</v>
      </c>
      <c r="H124" s="13">
        <v>100</v>
      </c>
      <c r="I124" s="14">
        <v>0.6</v>
      </c>
      <c r="J124" s="14" t="s">
        <v>17</v>
      </c>
      <c r="K124" s="13" t="s">
        <v>17</v>
      </c>
    </row>
    <row r="125" spans="1:11" ht="41.5" customHeight="1" x14ac:dyDescent="0.35">
      <c r="A125" s="12">
        <v>79493</v>
      </c>
      <c r="B125" s="12" t="s">
        <v>406</v>
      </c>
      <c r="C125" s="12" t="s">
        <v>254</v>
      </c>
      <c r="D125" s="12" t="s">
        <v>317</v>
      </c>
      <c r="E125" s="12" t="s">
        <v>227</v>
      </c>
      <c r="F125" s="12" t="s">
        <v>2</v>
      </c>
      <c r="G125" s="12" t="s">
        <v>318</v>
      </c>
      <c r="H125" s="13">
        <v>23</v>
      </c>
      <c r="I125" s="14"/>
      <c r="J125" s="14"/>
      <c r="K125" s="13"/>
    </row>
    <row r="126" spans="1:11" ht="41.5" customHeight="1" x14ac:dyDescent="0.35">
      <c r="A126" s="12">
        <v>105164</v>
      </c>
      <c r="B126" s="12" t="s">
        <v>45</v>
      </c>
      <c r="C126" s="12" t="s">
        <v>320</v>
      </c>
      <c r="D126" s="12" t="s">
        <v>319</v>
      </c>
      <c r="E126" s="12" t="s">
        <v>321</v>
      </c>
      <c r="F126" s="12" t="s">
        <v>3</v>
      </c>
      <c r="G126" s="12" t="s">
        <v>322</v>
      </c>
      <c r="H126" s="13">
        <v>107</v>
      </c>
      <c r="I126" s="14">
        <v>0.55000000000000004</v>
      </c>
      <c r="J126" s="14" t="s">
        <v>17</v>
      </c>
      <c r="K126" s="14" t="s">
        <v>17</v>
      </c>
    </row>
    <row r="127" spans="1:11" ht="41.5" customHeight="1" x14ac:dyDescent="0.35">
      <c r="A127" s="12">
        <v>108188</v>
      </c>
      <c r="B127" s="12" t="s">
        <v>45</v>
      </c>
      <c r="C127" s="12" t="s">
        <v>295</v>
      </c>
      <c r="D127" s="12" t="s">
        <v>323</v>
      </c>
      <c r="E127" s="12" t="s">
        <v>403</v>
      </c>
      <c r="F127" s="12" t="s">
        <v>1</v>
      </c>
      <c r="G127" s="12" t="s">
        <v>324</v>
      </c>
      <c r="H127" s="13">
        <v>3080</v>
      </c>
      <c r="I127" s="14">
        <v>0.74</v>
      </c>
      <c r="J127" s="14" t="s">
        <v>16</v>
      </c>
      <c r="K127" s="14" t="s">
        <v>17</v>
      </c>
    </row>
    <row r="128" spans="1:11" ht="41.5" customHeight="1" x14ac:dyDescent="0.35">
      <c r="A128" s="12">
        <v>72975</v>
      </c>
      <c r="B128" s="12" t="s">
        <v>406</v>
      </c>
      <c r="C128" s="12" t="s">
        <v>295</v>
      </c>
      <c r="D128" s="12" t="s">
        <v>325</v>
      </c>
      <c r="E128" s="12" t="s">
        <v>326</v>
      </c>
      <c r="F128" s="12" t="s">
        <v>1</v>
      </c>
      <c r="G128" s="12" t="s">
        <v>327</v>
      </c>
      <c r="H128" s="13">
        <v>3095</v>
      </c>
      <c r="I128" s="14">
        <v>0.75</v>
      </c>
      <c r="J128" s="14" t="s">
        <v>16</v>
      </c>
      <c r="K128" s="13" t="s">
        <v>17</v>
      </c>
    </row>
    <row r="129" spans="1:11" ht="41.5" customHeight="1" x14ac:dyDescent="0.35">
      <c r="A129" s="12">
        <v>80600</v>
      </c>
      <c r="B129" s="12" t="s">
        <v>406</v>
      </c>
      <c r="C129" s="12" t="s">
        <v>295</v>
      </c>
      <c r="D129" s="12" t="s">
        <v>328</v>
      </c>
      <c r="E129" s="12" t="s">
        <v>35</v>
      </c>
      <c r="F129" s="12" t="s">
        <v>4</v>
      </c>
      <c r="G129" s="12" t="s">
        <v>329</v>
      </c>
      <c r="H129" s="13">
        <v>318</v>
      </c>
      <c r="I129" s="14">
        <v>0.88</v>
      </c>
      <c r="J129" s="14" t="s">
        <v>16</v>
      </c>
      <c r="K129" s="13" t="s">
        <v>17</v>
      </c>
    </row>
    <row r="130" spans="1:11" ht="41.5" customHeight="1" x14ac:dyDescent="0.35">
      <c r="A130" s="12">
        <v>86325</v>
      </c>
      <c r="B130" s="12" t="s">
        <v>406</v>
      </c>
      <c r="C130" s="12" t="s">
        <v>295</v>
      </c>
      <c r="D130" s="12" t="s">
        <v>330</v>
      </c>
      <c r="E130" s="12" t="s">
        <v>331</v>
      </c>
      <c r="F130" s="12" t="s">
        <v>2</v>
      </c>
      <c r="G130" s="12" t="s">
        <v>332</v>
      </c>
      <c r="H130" s="13">
        <v>327</v>
      </c>
      <c r="I130" s="14">
        <v>0.7</v>
      </c>
      <c r="J130" s="14" t="s">
        <v>16</v>
      </c>
      <c r="K130" s="13" t="s">
        <v>17</v>
      </c>
    </row>
    <row r="131" spans="1:11" ht="41.5" customHeight="1" x14ac:dyDescent="0.35">
      <c r="A131" s="12">
        <v>58951</v>
      </c>
      <c r="B131" s="12" t="s">
        <v>406</v>
      </c>
      <c r="C131" s="12" t="s">
        <v>295</v>
      </c>
      <c r="D131" s="12" t="s">
        <v>333</v>
      </c>
      <c r="E131" s="12" t="s">
        <v>91</v>
      </c>
      <c r="F131" s="12" t="s">
        <v>1</v>
      </c>
      <c r="G131" s="12" t="s">
        <v>334</v>
      </c>
      <c r="H131" s="13">
        <v>741</v>
      </c>
      <c r="I131" s="14">
        <v>0.83</v>
      </c>
      <c r="J131" s="14" t="s">
        <v>16</v>
      </c>
      <c r="K131" s="13" t="s">
        <v>17</v>
      </c>
    </row>
    <row r="132" spans="1:11" ht="41.5" customHeight="1" x14ac:dyDescent="0.35">
      <c r="A132" s="12">
        <v>104288</v>
      </c>
      <c r="B132" s="12" t="s">
        <v>406</v>
      </c>
      <c r="C132" s="12" t="s">
        <v>295</v>
      </c>
      <c r="D132" s="12" t="s">
        <v>335</v>
      </c>
      <c r="E132" s="12" t="s">
        <v>66</v>
      </c>
      <c r="F132" s="12" t="s">
        <v>1</v>
      </c>
      <c r="G132" s="12" t="s">
        <v>336</v>
      </c>
      <c r="H132" s="13">
        <v>1500</v>
      </c>
      <c r="I132" s="14">
        <v>0.92</v>
      </c>
      <c r="J132" s="14" t="s">
        <v>16</v>
      </c>
      <c r="K132" s="13" t="s">
        <v>17</v>
      </c>
    </row>
    <row r="133" spans="1:11" ht="41.5" customHeight="1" x14ac:dyDescent="0.35">
      <c r="A133" s="12">
        <v>100154</v>
      </c>
      <c r="B133" s="12" t="s">
        <v>406</v>
      </c>
      <c r="C133" s="12" t="s">
        <v>295</v>
      </c>
      <c r="D133" s="12" t="s">
        <v>337</v>
      </c>
      <c r="E133" s="12" t="s">
        <v>35</v>
      </c>
      <c r="F133" s="12" t="s">
        <v>3</v>
      </c>
      <c r="G133" s="12" t="s">
        <v>338</v>
      </c>
      <c r="H133" s="13">
        <v>807</v>
      </c>
      <c r="I133" s="14">
        <v>0.76</v>
      </c>
      <c r="J133" s="14" t="s">
        <v>16</v>
      </c>
      <c r="K133" s="14" t="s">
        <v>17</v>
      </c>
    </row>
    <row r="134" spans="1:11" ht="41.5" customHeight="1" x14ac:dyDescent="0.35">
      <c r="A134" s="12">
        <v>64400</v>
      </c>
      <c r="B134" s="12" t="s">
        <v>406</v>
      </c>
      <c r="C134" s="12" t="s">
        <v>295</v>
      </c>
      <c r="D134" s="12" t="s">
        <v>339</v>
      </c>
      <c r="E134" s="12" t="s">
        <v>296</v>
      </c>
      <c r="F134" s="12" t="s">
        <v>3</v>
      </c>
      <c r="G134" s="12" t="s">
        <v>340</v>
      </c>
      <c r="H134" s="12">
        <v>3648</v>
      </c>
      <c r="I134" s="14">
        <v>0.84</v>
      </c>
      <c r="J134" s="14" t="s">
        <v>16</v>
      </c>
      <c r="K134" s="13" t="s">
        <v>17</v>
      </c>
    </row>
    <row r="135" spans="1:11" ht="41.5" customHeight="1" x14ac:dyDescent="0.35">
      <c r="A135" s="12">
        <v>68314</v>
      </c>
      <c r="B135" s="12" t="s">
        <v>406</v>
      </c>
      <c r="C135" s="12" t="s">
        <v>295</v>
      </c>
      <c r="D135" s="12" t="s">
        <v>341</v>
      </c>
      <c r="E135" s="12" t="s">
        <v>342</v>
      </c>
      <c r="F135" s="12" t="s">
        <v>1</v>
      </c>
      <c r="G135" s="12" t="s">
        <v>343</v>
      </c>
      <c r="H135" s="13">
        <v>11048</v>
      </c>
      <c r="I135" s="14">
        <v>0.87</v>
      </c>
      <c r="J135" s="14" t="s">
        <v>16</v>
      </c>
      <c r="K135" s="13" t="s">
        <v>17</v>
      </c>
    </row>
    <row r="136" spans="1:11" ht="41.5" customHeight="1" x14ac:dyDescent="0.35">
      <c r="A136" s="12">
        <v>86821</v>
      </c>
      <c r="B136" s="12" t="s">
        <v>406</v>
      </c>
      <c r="C136" s="12" t="s">
        <v>295</v>
      </c>
      <c r="D136" s="12" t="s">
        <v>344</v>
      </c>
      <c r="E136" s="12" t="s">
        <v>345</v>
      </c>
      <c r="F136" s="12" t="s">
        <v>3</v>
      </c>
      <c r="G136" s="12" t="s">
        <v>346</v>
      </c>
      <c r="H136" s="13">
        <v>661</v>
      </c>
      <c r="I136" s="14">
        <v>0.77</v>
      </c>
      <c r="J136" s="14" t="s">
        <v>16</v>
      </c>
      <c r="K136" s="13" t="s">
        <v>17</v>
      </c>
    </row>
    <row r="137" spans="1:11" ht="41.5" customHeight="1" x14ac:dyDescent="0.35">
      <c r="A137" s="12">
        <v>68665</v>
      </c>
      <c r="B137" s="12" t="s">
        <v>406</v>
      </c>
      <c r="C137" s="12" t="s">
        <v>295</v>
      </c>
      <c r="D137" s="12" t="s">
        <v>347</v>
      </c>
      <c r="E137" s="12" t="s">
        <v>348</v>
      </c>
      <c r="F137" s="12" t="s">
        <v>2</v>
      </c>
      <c r="G137" s="12" t="s">
        <v>349</v>
      </c>
      <c r="H137" s="12">
        <v>598</v>
      </c>
      <c r="I137" s="14">
        <v>0.8</v>
      </c>
      <c r="J137" s="14" t="s">
        <v>16</v>
      </c>
      <c r="K137" s="13" t="s">
        <v>17</v>
      </c>
    </row>
    <row r="138" spans="1:11" ht="41.5" customHeight="1" x14ac:dyDescent="0.35">
      <c r="A138" s="12">
        <v>58252</v>
      </c>
      <c r="B138" s="12" t="s">
        <v>406</v>
      </c>
      <c r="C138" s="12" t="s">
        <v>295</v>
      </c>
      <c r="D138" s="12" t="s">
        <v>350</v>
      </c>
      <c r="E138" s="12" t="s">
        <v>351</v>
      </c>
      <c r="F138" s="12" t="s">
        <v>4</v>
      </c>
      <c r="G138" s="12" t="s">
        <v>352</v>
      </c>
      <c r="H138" s="13">
        <v>292</v>
      </c>
      <c r="I138" s="14">
        <v>0.83</v>
      </c>
      <c r="J138" s="14" t="s">
        <v>16</v>
      </c>
      <c r="K138" s="13" t="s">
        <v>17</v>
      </c>
    </row>
    <row r="139" spans="1:11" ht="41.5" customHeight="1" x14ac:dyDescent="0.35">
      <c r="A139" s="12">
        <v>43598</v>
      </c>
      <c r="B139" s="12" t="s">
        <v>406</v>
      </c>
      <c r="C139" s="12" t="s">
        <v>295</v>
      </c>
      <c r="D139" s="12" t="s">
        <v>353</v>
      </c>
      <c r="E139" s="12" t="s">
        <v>354</v>
      </c>
      <c r="F139" s="12" t="s">
        <v>1</v>
      </c>
      <c r="G139" s="12" t="s">
        <v>355</v>
      </c>
      <c r="H139" s="13">
        <v>886</v>
      </c>
      <c r="I139" s="14">
        <v>0.67</v>
      </c>
      <c r="J139" s="14" t="s">
        <v>16</v>
      </c>
      <c r="K139" s="13" t="s">
        <v>17</v>
      </c>
    </row>
    <row r="140" spans="1:11" ht="41.5" customHeight="1" x14ac:dyDescent="0.35">
      <c r="A140" s="12">
        <v>74878</v>
      </c>
      <c r="B140" s="12" t="s">
        <v>45</v>
      </c>
      <c r="C140" s="12" t="s">
        <v>295</v>
      </c>
      <c r="D140" s="12" t="s">
        <v>356</v>
      </c>
      <c r="E140" s="12" t="s">
        <v>356</v>
      </c>
      <c r="F140" s="12" t="s">
        <v>3</v>
      </c>
      <c r="G140" s="12" t="s">
        <v>357</v>
      </c>
      <c r="H140" s="13">
        <v>564</v>
      </c>
      <c r="I140" s="14">
        <v>0.85</v>
      </c>
      <c r="J140" s="14" t="s">
        <v>16</v>
      </c>
      <c r="K140" s="14" t="s">
        <v>17</v>
      </c>
    </row>
    <row r="141" spans="1:11" ht="41.5" customHeight="1" x14ac:dyDescent="0.35">
      <c r="A141" s="12">
        <v>15140</v>
      </c>
      <c r="B141" s="12" t="s">
        <v>406</v>
      </c>
      <c r="C141" s="12" t="s">
        <v>295</v>
      </c>
      <c r="D141" s="12" t="s">
        <v>358</v>
      </c>
      <c r="E141" s="12" t="s">
        <v>104</v>
      </c>
      <c r="F141" s="12" t="s">
        <v>3</v>
      </c>
      <c r="G141" s="12" t="s">
        <v>359</v>
      </c>
      <c r="H141" s="12">
        <v>5538</v>
      </c>
      <c r="I141" s="14">
        <v>0.95</v>
      </c>
      <c r="J141" s="14" t="s">
        <v>16</v>
      </c>
      <c r="K141" s="13" t="s">
        <v>17</v>
      </c>
    </row>
    <row r="142" spans="1:11" ht="41.5" customHeight="1" x14ac:dyDescent="0.35">
      <c r="A142" s="12">
        <v>34222</v>
      </c>
      <c r="B142" s="12" t="s">
        <v>406</v>
      </c>
      <c r="C142" s="12" t="s">
        <v>295</v>
      </c>
      <c r="D142" s="12" t="s">
        <v>360</v>
      </c>
      <c r="E142" s="12" t="s">
        <v>361</v>
      </c>
      <c r="F142" s="12" t="s">
        <v>4</v>
      </c>
      <c r="G142" s="12" t="s">
        <v>362</v>
      </c>
      <c r="H142" s="12">
        <v>995</v>
      </c>
      <c r="I142" s="14">
        <v>0.78</v>
      </c>
      <c r="J142" s="14" t="s">
        <v>16</v>
      </c>
      <c r="K142" s="13" t="s">
        <v>17</v>
      </c>
    </row>
    <row r="143" spans="1:11" ht="41.5" customHeight="1" x14ac:dyDescent="0.35">
      <c r="A143" s="12">
        <v>83644</v>
      </c>
      <c r="B143" s="12" t="s">
        <v>406</v>
      </c>
      <c r="C143" s="12" t="s">
        <v>295</v>
      </c>
      <c r="D143" s="12" t="s">
        <v>363</v>
      </c>
      <c r="E143" s="12" t="s">
        <v>134</v>
      </c>
      <c r="F143" s="12" t="s">
        <v>1</v>
      </c>
      <c r="G143" s="12" t="s">
        <v>364</v>
      </c>
      <c r="H143" s="13">
        <v>4647</v>
      </c>
      <c r="I143" s="14">
        <v>0.85</v>
      </c>
      <c r="J143" s="14" t="s">
        <v>16</v>
      </c>
      <c r="K143" s="13" t="s">
        <v>17</v>
      </c>
    </row>
    <row r="144" spans="1:11" ht="41.5" customHeight="1" x14ac:dyDescent="0.35">
      <c r="A144" s="12">
        <v>68352</v>
      </c>
      <c r="B144" s="12" t="s">
        <v>406</v>
      </c>
      <c r="C144" s="12" t="s">
        <v>295</v>
      </c>
      <c r="D144" s="12" t="s">
        <v>365</v>
      </c>
      <c r="E144" s="12" t="s">
        <v>196</v>
      </c>
      <c r="F144" s="12" t="s">
        <v>1</v>
      </c>
      <c r="G144" s="12" t="s">
        <v>366</v>
      </c>
      <c r="H144" s="13">
        <v>6600</v>
      </c>
      <c r="I144" s="14">
        <v>0.82</v>
      </c>
      <c r="J144" s="14" t="s">
        <v>16</v>
      </c>
      <c r="K144" s="13" t="s">
        <v>17</v>
      </c>
    </row>
    <row r="145" spans="1:11" ht="41.5" customHeight="1" x14ac:dyDescent="0.35">
      <c r="A145" s="12">
        <v>15615</v>
      </c>
      <c r="B145" s="12" t="s">
        <v>406</v>
      </c>
      <c r="C145" s="12" t="s">
        <v>295</v>
      </c>
      <c r="D145" s="12" t="s">
        <v>367</v>
      </c>
      <c r="E145" s="12" t="s">
        <v>196</v>
      </c>
      <c r="F145" s="12" t="s">
        <v>1</v>
      </c>
      <c r="G145" s="12" t="s">
        <v>368</v>
      </c>
      <c r="H145" s="13">
        <v>4151</v>
      </c>
      <c r="I145" s="14">
        <v>0.92</v>
      </c>
      <c r="J145" s="14" t="s">
        <v>16</v>
      </c>
      <c r="K145" s="13" t="s">
        <v>17</v>
      </c>
    </row>
    <row r="146" spans="1:11" ht="41.5" customHeight="1" x14ac:dyDescent="0.35">
      <c r="A146" s="12">
        <v>72580</v>
      </c>
      <c r="B146" s="12" t="s">
        <v>406</v>
      </c>
      <c r="C146" s="12" t="s">
        <v>295</v>
      </c>
      <c r="D146" s="12" t="s">
        <v>369</v>
      </c>
      <c r="E146" s="12" t="s">
        <v>35</v>
      </c>
      <c r="F146" s="12" t="s">
        <v>2</v>
      </c>
      <c r="G146" s="12" t="s">
        <v>370</v>
      </c>
      <c r="H146" s="13">
        <v>1466</v>
      </c>
      <c r="I146" s="14">
        <v>0.78</v>
      </c>
      <c r="J146" s="14" t="s">
        <v>16</v>
      </c>
      <c r="K146" s="14" t="s">
        <v>17</v>
      </c>
    </row>
    <row r="147" spans="1:11" ht="41.5" customHeight="1" x14ac:dyDescent="0.35">
      <c r="A147" s="12">
        <v>19408</v>
      </c>
      <c r="B147" s="12" t="s">
        <v>406</v>
      </c>
      <c r="C147" s="12" t="s">
        <v>295</v>
      </c>
      <c r="D147" s="12" t="s">
        <v>371</v>
      </c>
      <c r="E147" s="12" t="s">
        <v>372</v>
      </c>
      <c r="F147" s="12" t="s">
        <v>4</v>
      </c>
      <c r="G147" s="12" t="s">
        <v>373</v>
      </c>
      <c r="H147" s="13">
        <v>1555</v>
      </c>
      <c r="I147" s="14">
        <v>0.83</v>
      </c>
      <c r="J147" s="14" t="s">
        <v>16</v>
      </c>
      <c r="K147" s="13" t="s">
        <v>17</v>
      </c>
    </row>
    <row r="148" spans="1:11" ht="41.5" customHeight="1" x14ac:dyDescent="0.35">
      <c r="A148" s="12">
        <v>14648</v>
      </c>
      <c r="B148" s="12" t="s">
        <v>406</v>
      </c>
      <c r="C148" s="12" t="s">
        <v>295</v>
      </c>
      <c r="D148" s="12" t="s">
        <v>374</v>
      </c>
      <c r="E148" s="12" t="s">
        <v>23</v>
      </c>
      <c r="F148" s="12" t="s">
        <v>3</v>
      </c>
      <c r="G148" s="12" t="s">
        <v>375</v>
      </c>
      <c r="H148" s="12">
        <v>585</v>
      </c>
      <c r="I148" s="14">
        <v>0.88</v>
      </c>
      <c r="J148" s="14" t="s">
        <v>16</v>
      </c>
      <c r="K148" s="13" t="s">
        <v>17</v>
      </c>
    </row>
    <row r="149" spans="1:11" ht="41.5" customHeight="1" x14ac:dyDescent="0.35">
      <c r="A149" s="12">
        <v>93965</v>
      </c>
      <c r="B149" s="12" t="s">
        <v>406</v>
      </c>
      <c r="C149" s="12" t="s">
        <v>295</v>
      </c>
      <c r="D149" s="12" t="s">
        <v>376</v>
      </c>
      <c r="E149" s="12" t="s">
        <v>35</v>
      </c>
      <c r="F149" s="12" t="s">
        <v>4</v>
      </c>
      <c r="G149" s="12" t="s">
        <v>377</v>
      </c>
      <c r="H149" s="12">
        <v>66</v>
      </c>
      <c r="I149" s="14">
        <v>0.82</v>
      </c>
      <c r="J149" s="14" t="s">
        <v>16</v>
      </c>
      <c r="K149" s="13" t="s">
        <v>17</v>
      </c>
    </row>
    <row r="150" spans="1:11" ht="41.5" customHeight="1" x14ac:dyDescent="0.35">
      <c r="A150" s="12">
        <v>29037</v>
      </c>
      <c r="B150" s="12" t="s">
        <v>406</v>
      </c>
      <c r="C150" s="12" t="s">
        <v>295</v>
      </c>
      <c r="D150" s="12" t="s">
        <v>378</v>
      </c>
      <c r="E150" s="12" t="s">
        <v>35</v>
      </c>
      <c r="F150" s="12" t="s">
        <v>3</v>
      </c>
      <c r="G150" s="12" t="s">
        <v>379</v>
      </c>
      <c r="H150" s="12">
        <v>2809</v>
      </c>
      <c r="I150" s="14">
        <v>0.71</v>
      </c>
      <c r="J150" s="14" t="s">
        <v>16</v>
      </c>
      <c r="K150" s="13" t="s">
        <v>17</v>
      </c>
    </row>
    <row r="151" spans="1:11" ht="41.5" customHeight="1" x14ac:dyDescent="0.35">
      <c r="A151" s="12">
        <v>49593</v>
      </c>
      <c r="B151" s="12" t="s">
        <v>406</v>
      </c>
      <c r="C151" s="12" t="s">
        <v>295</v>
      </c>
      <c r="D151" s="12" t="s">
        <v>380</v>
      </c>
      <c r="E151" s="12" t="s">
        <v>35</v>
      </c>
      <c r="F151" s="12" t="s">
        <v>4</v>
      </c>
      <c r="G151" s="12" t="s">
        <v>381</v>
      </c>
      <c r="H151" s="12">
        <v>853</v>
      </c>
      <c r="I151" s="14">
        <v>0.8</v>
      </c>
      <c r="J151" s="14" t="s">
        <v>16</v>
      </c>
      <c r="K151" s="13" t="s">
        <v>17</v>
      </c>
    </row>
    <row r="152" spans="1:11" ht="41.5" customHeight="1" x14ac:dyDescent="0.35">
      <c r="A152" s="12">
        <v>76035</v>
      </c>
      <c r="B152" s="12" t="s">
        <v>406</v>
      </c>
      <c r="C152" s="12" t="s">
        <v>295</v>
      </c>
      <c r="D152" s="12" t="s">
        <v>382</v>
      </c>
      <c r="E152" s="12" t="s">
        <v>35</v>
      </c>
      <c r="F152" s="12" t="s">
        <v>3</v>
      </c>
      <c r="G152" s="12" t="s">
        <v>383</v>
      </c>
      <c r="H152" s="12">
        <v>1300</v>
      </c>
      <c r="I152" s="14">
        <v>0.8</v>
      </c>
      <c r="J152" s="14" t="s">
        <v>16</v>
      </c>
      <c r="K152" s="13" t="s">
        <v>17</v>
      </c>
    </row>
    <row r="153" spans="1:11" ht="41.5" customHeight="1" x14ac:dyDescent="0.35">
      <c r="A153" s="12">
        <v>101128</v>
      </c>
      <c r="B153" s="12" t="s">
        <v>406</v>
      </c>
      <c r="C153" s="12" t="s">
        <v>295</v>
      </c>
      <c r="D153" s="12" t="s">
        <v>384</v>
      </c>
      <c r="E153" s="12" t="s">
        <v>385</v>
      </c>
      <c r="F153" s="12" t="s">
        <v>1</v>
      </c>
      <c r="G153" s="12" t="s">
        <v>386</v>
      </c>
      <c r="H153" s="13">
        <v>2249</v>
      </c>
      <c r="I153" s="14">
        <v>0.66</v>
      </c>
      <c r="J153" s="14" t="s">
        <v>16</v>
      </c>
      <c r="K153" s="14" t="s">
        <v>17</v>
      </c>
    </row>
    <row r="154" spans="1:11" ht="41.5" customHeight="1" x14ac:dyDescent="0.35">
      <c r="A154" s="12">
        <v>92784</v>
      </c>
      <c r="B154" s="12" t="s">
        <v>406</v>
      </c>
      <c r="C154" s="12" t="s">
        <v>295</v>
      </c>
      <c r="D154" s="12" t="s">
        <v>387</v>
      </c>
      <c r="E154" s="12" t="s">
        <v>109</v>
      </c>
      <c r="F154" s="12" t="s">
        <v>1</v>
      </c>
      <c r="G154" s="12" t="s">
        <v>388</v>
      </c>
      <c r="H154" s="13">
        <v>1281</v>
      </c>
      <c r="I154" s="14">
        <v>0.82</v>
      </c>
      <c r="J154" s="14" t="s">
        <v>16</v>
      </c>
      <c r="K154" s="14" t="s">
        <v>17</v>
      </c>
    </row>
    <row r="155" spans="1:11" ht="41.5" customHeight="1" x14ac:dyDescent="0.35">
      <c r="A155" s="12">
        <v>104287</v>
      </c>
      <c r="B155" s="12" t="s">
        <v>406</v>
      </c>
      <c r="C155" s="12" t="s">
        <v>295</v>
      </c>
      <c r="D155" s="12" t="s">
        <v>389</v>
      </c>
      <c r="E155" s="12" t="s">
        <v>109</v>
      </c>
      <c r="F155" s="12" t="s">
        <v>1</v>
      </c>
      <c r="G155" s="12" t="s">
        <v>390</v>
      </c>
      <c r="H155" s="13">
        <v>694</v>
      </c>
      <c r="I155" s="14">
        <v>0.77</v>
      </c>
      <c r="J155" s="14" t="s">
        <v>16</v>
      </c>
      <c r="K155" s="13" t="s">
        <v>17</v>
      </c>
    </row>
    <row r="156" spans="1:11" ht="41.5" customHeight="1" x14ac:dyDescent="0.35">
      <c r="A156" s="12">
        <v>45959</v>
      </c>
      <c r="B156" s="12" t="s">
        <v>406</v>
      </c>
      <c r="C156" s="12" t="s">
        <v>295</v>
      </c>
      <c r="D156" s="12" t="s">
        <v>391</v>
      </c>
      <c r="E156" s="12" t="s">
        <v>326</v>
      </c>
      <c r="F156" s="12" t="s">
        <v>1</v>
      </c>
      <c r="G156" s="12" t="s">
        <v>392</v>
      </c>
      <c r="H156" s="13">
        <v>5750</v>
      </c>
      <c r="I156" s="14">
        <v>0.73</v>
      </c>
      <c r="J156" s="14" t="s">
        <v>16</v>
      </c>
      <c r="K156" s="13" t="s">
        <v>17</v>
      </c>
    </row>
    <row r="157" spans="1:11" ht="41.5" customHeight="1" x14ac:dyDescent="0.35">
      <c r="A157" s="12">
        <v>31097</v>
      </c>
      <c r="B157" s="12" t="s">
        <v>406</v>
      </c>
      <c r="C157" s="12" t="s">
        <v>295</v>
      </c>
      <c r="D157" s="12" t="s">
        <v>393</v>
      </c>
      <c r="E157" s="12" t="s">
        <v>35</v>
      </c>
      <c r="F157" s="12" t="s">
        <v>3</v>
      </c>
      <c r="G157" s="12" t="s">
        <v>394</v>
      </c>
      <c r="H157" s="13">
        <v>1951</v>
      </c>
      <c r="I157" s="14">
        <v>0.87</v>
      </c>
      <c r="J157" s="14" t="s">
        <v>16</v>
      </c>
      <c r="K157" s="14" t="s">
        <v>17</v>
      </c>
    </row>
    <row r="158" spans="1:11" ht="41.5" customHeight="1" x14ac:dyDescent="0.35">
      <c r="A158" s="12">
        <v>71350</v>
      </c>
      <c r="B158" s="12" t="s">
        <v>406</v>
      </c>
      <c r="C158" s="12" t="s">
        <v>295</v>
      </c>
      <c r="D158" s="12" t="s">
        <v>395</v>
      </c>
      <c r="E158" s="12" t="s">
        <v>35</v>
      </c>
      <c r="F158" s="12" t="s">
        <v>3</v>
      </c>
      <c r="G158" s="12" t="s">
        <v>396</v>
      </c>
      <c r="H158" s="13">
        <v>11154</v>
      </c>
      <c r="I158" s="14">
        <v>0.92</v>
      </c>
      <c r="J158" s="14" t="s">
        <v>16</v>
      </c>
      <c r="K158" s="14" t="s">
        <v>17</v>
      </c>
    </row>
    <row r="159" spans="1:11" ht="41.5" customHeight="1" x14ac:dyDescent="0.35">
      <c r="A159" s="12">
        <v>78716</v>
      </c>
      <c r="B159" s="12" t="s">
        <v>406</v>
      </c>
      <c r="C159" s="12" t="s">
        <v>295</v>
      </c>
      <c r="D159" s="12" t="s">
        <v>397</v>
      </c>
      <c r="E159" s="12" t="s">
        <v>398</v>
      </c>
      <c r="F159" s="12" t="s">
        <v>1</v>
      </c>
      <c r="G159" s="12" t="s">
        <v>399</v>
      </c>
      <c r="H159" s="13">
        <v>2261</v>
      </c>
      <c r="I159" s="14">
        <v>0.86</v>
      </c>
      <c r="J159" s="14" t="s">
        <v>16</v>
      </c>
      <c r="K159" s="13" t="s">
        <v>17</v>
      </c>
    </row>
  </sheetData>
  <sheetProtection algorithmName="SHA-512" hashValue="lDG7AmRaeK8JVx2VAKcBrTvkOwlypeKN4leClZ5jkFy5HE82n90j95U2B2HhQLrB9qRlfJoCDLRLtcwIgQ1LbQ==" saltValue="v0DLacU7FxSszS4t7M4U2Q==" spinCount="100000" sheet="1" selectLockedCells="1" sort="0" autoFilter="0"/>
  <protectedRanges>
    <protectedRange sqref="A81:A85 K81:K85 E134 K77:K78 E128 E122:E125 E159 K87:K108 J77:J108 J68:K76 A75:A78 A62:A73 E140 E154:E156 D81:I85 I68:I73 I87:I108 C75:I78 I38:K67 C38:H73 I109:K121 D87:H121 C81:C121 A87:A121 A38:A60 B38:B159 A8:K37" name="AllowSortFilter"/>
    <protectedRange sqref="A74 C74:I74" name="AllowSortFilter_1"/>
    <protectedRange sqref="A79:A80 K79:K80 C79:I80" name="AllowSortFilter_2"/>
    <protectedRange sqref="A86 K86 D86:I86" name="AllowSortFilter_4"/>
  </protectedRanges>
  <autoFilter ref="A8:K159" xr:uid="{F71204EC-5C22-4BD0-818F-BCD74B1A70B6}">
    <sortState xmlns:xlrd2="http://schemas.microsoft.com/office/spreadsheetml/2017/richdata2" ref="A9:K159">
      <sortCondition ref="C9:C159"/>
      <sortCondition ref="D9:D159"/>
    </sortState>
  </autoFilter>
  <sortState xmlns:xlrd2="http://schemas.microsoft.com/office/spreadsheetml/2017/richdata2" ref="A9:K159">
    <sortCondition ref="C9:C159"/>
  </sortState>
  <mergeCells count="2">
    <mergeCell ref="A6:K6"/>
    <mergeCell ref="A7:K7"/>
  </mergeCells>
  <pageMargins left="0.7" right="0.7" top="0.75" bottom="0.75" header="0.3" footer="0.3"/>
  <pageSetup scale="42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 Tier 1 Supplier List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Grillo</dc:creator>
  <cp:lastModifiedBy>Tina McAmis</cp:lastModifiedBy>
  <dcterms:created xsi:type="dcterms:W3CDTF">2022-02-28T23:44:32Z</dcterms:created>
  <dcterms:modified xsi:type="dcterms:W3CDTF">2022-07-26T20:09:59Z</dcterms:modified>
</cp:coreProperties>
</file>